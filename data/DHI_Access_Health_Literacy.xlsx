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 study\MPh_THesis\Reproductive_Health_Literacy\Reproductive_Health_KAP\data\"/>
    </mc:Choice>
  </mc:AlternateContent>
  <xr:revisionPtr revIDLastSave="0" documentId="13_ncr:1_{509E57AE-7F27-408A-A4F7-75A598FC01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ded" sheetId="4" r:id="rId1"/>
    <sheet name="Code-book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5" l="1"/>
  <c r="C69" i="5"/>
  <c r="C50" i="5"/>
  <c r="C33" i="5"/>
  <c r="BA240" i="4"/>
  <c r="BB240" i="4" s="1"/>
  <c r="AO240" i="4"/>
  <c r="AP240" i="4" s="1"/>
  <c r="AD240" i="4"/>
  <c r="AE240" i="4" s="1"/>
  <c r="U240" i="4"/>
  <c r="T240" i="4"/>
  <c r="BA239" i="4"/>
  <c r="BB239" i="4" s="1"/>
  <c r="AO239" i="4"/>
  <c r="AP239" i="4" s="1"/>
  <c r="AD239" i="4"/>
  <c r="AE239" i="4" s="1"/>
  <c r="T239" i="4"/>
  <c r="U239" i="4" s="1"/>
  <c r="BA238" i="4"/>
  <c r="BB238" i="4" s="1"/>
  <c r="AO238" i="4"/>
  <c r="AP238" i="4" s="1"/>
  <c r="AD238" i="4"/>
  <c r="AE238" i="4" s="1"/>
  <c r="T238" i="4"/>
  <c r="U238" i="4" s="1"/>
  <c r="BA237" i="4"/>
  <c r="BB237" i="4" s="1"/>
  <c r="AO237" i="4"/>
  <c r="AP237" i="4" s="1"/>
  <c r="AD237" i="4"/>
  <c r="AE237" i="4" s="1"/>
  <c r="T237" i="4"/>
  <c r="U237" i="4" s="1"/>
  <c r="BA236" i="4"/>
  <c r="BB236" i="4" s="1"/>
  <c r="AO236" i="4"/>
  <c r="AP236" i="4" s="1"/>
  <c r="AD236" i="4"/>
  <c r="AE236" i="4" s="1"/>
  <c r="T236" i="4"/>
  <c r="U236" i="4" s="1"/>
  <c r="BA235" i="4"/>
  <c r="BB235" i="4" s="1"/>
  <c r="AO235" i="4"/>
  <c r="AP235" i="4" s="1"/>
  <c r="AD235" i="4"/>
  <c r="AE235" i="4" s="1"/>
  <c r="T235" i="4"/>
  <c r="U235" i="4" s="1"/>
  <c r="BA234" i="4"/>
  <c r="BB234" i="4" s="1"/>
  <c r="AO234" i="4"/>
  <c r="AP234" i="4" s="1"/>
  <c r="AD234" i="4"/>
  <c r="AE234" i="4" s="1"/>
  <c r="T234" i="4"/>
  <c r="U234" i="4" s="1"/>
  <c r="BA233" i="4"/>
  <c r="BB233" i="4" s="1"/>
  <c r="AO233" i="4"/>
  <c r="AP233" i="4" s="1"/>
  <c r="AD233" i="4"/>
  <c r="AE233" i="4" s="1"/>
  <c r="T233" i="4"/>
  <c r="U233" i="4" s="1"/>
  <c r="BA232" i="4"/>
  <c r="BB232" i="4" s="1"/>
  <c r="AO232" i="4"/>
  <c r="AP232" i="4" s="1"/>
  <c r="AD232" i="4"/>
  <c r="AE232" i="4" s="1"/>
  <c r="T232" i="4"/>
  <c r="U232" i="4" s="1"/>
  <c r="BA231" i="4"/>
  <c r="BB231" i="4" s="1"/>
  <c r="AO231" i="4"/>
  <c r="AP231" i="4" s="1"/>
  <c r="AD231" i="4"/>
  <c r="AE231" i="4" s="1"/>
  <c r="T231" i="4"/>
  <c r="U231" i="4" s="1"/>
  <c r="BA230" i="4"/>
  <c r="BB230" i="4" s="1"/>
  <c r="AO230" i="4"/>
  <c r="AP230" i="4" s="1"/>
  <c r="AD230" i="4"/>
  <c r="AE230" i="4" s="1"/>
  <c r="T230" i="4"/>
  <c r="U230" i="4" s="1"/>
  <c r="BA229" i="4"/>
  <c r="BB229" i="4" s="1"/>
  <c r="AO229" i="4"/>
  <c r="AP229" i="4" s="1"/>
  <c r="AD229" i="4"/>
  <c r="AE229" i="4" s="1"/>
  <c r="T229" i="4"/>
  <c r="U229" i="4" s="1"/>
  <c r="BA228" i="4"/>
  <c r="BB228" i="4" s="1"/>
  <c r="AO228" i="4"/>
  <c r="AP228" i="4" s="1"/>
  <c r="AD228" i="4"/>
  <c r="AE228" i="4" s="1"/>
  <c r="T228" i="4"/>
  <c r="U228" i="4" s="1"/>
  <c r="BA227" i="4"/>
  <c r="BB227" i="4" s="1"/>
  <c r="AO227" i="4"/>
  <c r="AP227" i="4" s="1"/>
  <c r="AD227" i="4"/>
  <c r="AE227" i="4" s="1"/>
  <c r="T227" i="4"/>
  <c r="U227" i="4" s="1"/>
  <c r="BA226" i="4"/>
  <c r="BB226" i="4" s="1"/>
  <c r="AO226" i="4"/>
  <c r="AP226" i="4" s="1"/>
  <c r="AD226" i="4"/>
  <c r="AE226" i="4" s="1"/>
  <c r="T226" i="4"/>
  <c r="U226" i="4" s="1"/>
  <c r="BA225" i="4"/>
  <c r="BB225" i="4" s="1"/>
  <c r="AO225" i="4"/>
  <c r="AP225" i="4" s="1"/>
  <c r="AD225" i="4"/>
  <c r="AE225" i="4" s="1"/>
  <c r="T225" i="4"/>
  <c r="U225" i="4" s="1"/>
  <c r="BA224" i="4"/>
  <c r="BB224" i="4" s="1"/>
  <c r="AO224" i="4"/>
  <c r="AP224" i="4" s="1"/>
  <c r="AD224" i="4"/>
  <c r="AE224" i="4" s="1"/>
  <c r="T224" i="4"/>
  <c r="U224" i="4" s="1"/>
  <c r="BA223" i="4"/>
  <c r="BB223" i="4" s="1"/>
  <c r="AO223" i="4"/>
  <c r="AP223" i="4" s="1"/>
  <c r="AD223" i="4"/>
  <c r="AE223" i="4" s="1"/>
  <c r="T223" i="4"/>
  <c r="U223" i="4" s="1"/>
  <c r="BA222" i="4"/>
  <c r="BB222" i="4" s="1"/>
  <c r="AO222" i="4"/>
  <c r="AP222" i="4" s="1"/>
  <c r="AD222" i="4"/>
  <c r="AE222" i="4" s="1"/>
  <c r="T222" i="4"/>
  <c r="U222" i="4" s="1"/>
  <c r="BA221" i="4"/>
  <c r="BB221" i="4" s="1"/>
  <c r="AO221" i="4"/>
  <c r="AP221" i="4" s="1"/>
  <c r="AD221" i="4"/>
  <c r="AE221" i="4" s="1"/>
  <c r="T221" i="4"/>
  <c r="U221" i="4" s="1"/>
  <c r="BA220" i="4"/>
  <c r="BB220" i="4" s="1"/>
  <c r="AO220" i="4"/>
  <c r="AP220" i="4" s="1"/>
  <c r="AD220" i="4"/>
  <c r="AE220" i="4" s="1"/>
  <c r="T220" i="4"/>
  <c r="U220" i="4" s="1"/>
  <c r="BA219" i="4"/>
  <c r="BB219" i="4" s="1"/>
  <c r="AO219" i="4"/>
  <c r="AP219" i="4" s="1"/>
  <c r="AD219" i="4"/>
  <c r="AE219" i="4" s="1"/>
  <c r="T219" i="4"/>
  <c r="U219" i="4" s="1"/>
  <c r="BA218" i="4"/>
  <c r="BB218" i="4" s="1"/>
  <c r="AO218" i="4"/>
  <c r="AP218" i="4" s="1"/>
  <c r="AD218" i="4"/>
  <c r="AE218" i="4" s="1"/>
  <c r="T218" i="4"/>
  <c r="U218" i="4" s="1"/>
  <c r="BA217" i="4"/>
  <c r="BB217" i="4" s="1"/>
  <c r="AO217" i="4"/>
  <c r="AP217" i="4" s="1"/>
  <c r="AD217" i="4"/>
  <c r="AE217" i="4" s="1"/>
  <c r="T217" i="4"/>
  <c r="U217" i="4" s="1"/>
  <c r="BA216" i="4"/>
  <c r="BB216" i="4" s="1"/>
  <c r="AO216" i="4"/>
  <c r="AP216" i="4" s="1"/>
  <c r="AD216" i="4"/>
  <c r="AE216" i="4" s="1"/>
  <c r="T216" i="4"/>
  <c r="U216" i="4" s="1"/>
  <c r="BA215" i="4"/>
  <c r="BB215" i="4" s="1"/>
  <c r="AO215" i="4"/>
  <c r="AP215" i="4" s="1"/>
  <c r="AD215" i="4"/>
  <c r="AE215" i="4" s="1"/>
  <c r="T215" i="4"/>
  <c r="U215" i="4" s="1"/>
  <c r="BA214" i="4"/>
  <c r="BB214" i="4" s="1"/>
  <c r="AO214" i="4"/>
  <c r="AP214" i="4" s="1"/>
  <c r="AD214" i="4"/>
  <c r="AE214" i="4" s="1"/>
  <c r="T214" i="4"/>
  <c r="U214" i="4" s="1"/>
  <c r="BA213" i="4"/>
  <c r="BB213" i="4" s="1"/>
  <c r="AO213" i="4"/>
  <c r="AP213" i="4" s="1"/>
  <c r="AD213" i="4"/>
  <c r="AE213" i="4" s="1"/>
  <c r="T213" i="4"/>
  <c r="U213" i="4" s="1"/>
  <c r="BA212" i="4"/>
  <c r="BB212" i="4" s="1"/>
  <c r="AO212" i="4"/>
  <c r="AP212" i="4" s="1"/>
  <c r="AD212" i="4"/>
  <c r="AE212" i="4" s="1"/>
  <c r="T212" i="4"/>
  <c r="U212" i="4" s="1"/>
  <c r="BA211" i="4"/>
  <c r="BB211" i="4" s="1"/>
  <c r="AO211" i="4"/>
  <c r="AP211" i="4" s="1"/>
  <c r="AD211" i="4"/>
  <c r="AE211" i="4" s="1"/>
  <c r="T211" i="4"/>
  <c r="U211" i="4" s="1"/>
  <c r="BA210" i="4"/>
  <c r="BB210" i="4" s="1"/>
  <c r="AO210" i="4"/>
  <c r="AP210" i="4" s="1"/>
  <c r="AD210" i="4"/>
  <c r="AE210" i="4" s="1"/>
  <c r="T210" i="4"/>
  <c r="U210" i="4" s="1"/>
  <c r="BA209" i="4"/>
  <c r="BB209" i="4" s="1"/>
  <c r="AO209" i="4"/>
  <c r="AP209" i="4" s="1"/>
  <c r="AD209" i="4"/>
  <c r="AE209" i="4" s="1"/>
  <c r="T209" i="4"/>
  <c r="U209" i="4" s="1"/>
  <c r="BA208" i="4"/>
  <c r="BB208" i="4" s="1"/>
  <c r="AO208" i="4"/>
  <c r="AP208" i="4" s="1"/>
  <c r="AD208" i="4"/>
  <c r="AE208" i="4" s="1"/>
  <c r="T208" i="4"/>
  <c r="U208" i="4" s="1"/>
  <c r="BA207" i="4"/>
  <c r="BB207" i="4" s="1"/>
  <c r="AO207" i="4"/>
  <c r="AP207" i="4" s="1"/>
  <c r="AD207" i="4"/>
  <c r="AE207" i="4" s="1"/>
  <c r="T207" i="4"/>
  <c r="U207" i="4" s="1"/>
  <c r="BA206" i="4"/>
  <c r="BB206" i="4" s="1"/>
  <c r="AO206" i="4"/>
  <c r="AP206" i="4" s="1"/>
  <c r="AD206" i="4"/>
  <c r="AE206" i="4" s="1"/>
  <c r="T206" i="4"/>
  <c r="U206" i="4" s="1"/>
  <c r="BA205" i="4"/>
  <c r="BB205" i="4" s="1"/>
  <c r="AO205" i="4"/>
  <c r="AP205" i="4" s="1"/>
  <c r="AD205" i="4"/>
  <c r="AE205" i="4" s="1"/>
  <c r="T205" i="4"/>
  <c r="U205" i="4" s="1"/>
  <c r="BA204" i="4"/>
  <c r="BB204" i="4" s="1"/>
  <c r="AO204" i="4"/>
  <c r="AP204" i="4" s="1"/>
  <c r="AD204" i="4"/>
  <c r="AE204" i="4" s="1"/>
  <c r="T204" i="4"/>
  <c r="U204" i="4" s="1"/>
  <c r="BA203" i="4"/>
  <c r="BB203" i="4" s="1"/>
  <c r="AO203" i="4"/>
  <c r="AP203" i="4" s="1"/>
  <c r="AD203" i="4"/>
  <c r="AE203" i="4" s="1"/>
  <c r="T203" i="4"/>
  <c r="U203" i="4" s="1"/>
  <c r="BA202" i="4"/>
  <c r="BB202" i="4" s="1"/>
  <c r="AO202" i="4"/>
  <c r="AP202" i="4" s="1"/>
  <c r="AD202" i="4"/>
  <c r="AE202" i="4" s="1"/>
  <c r="T202" i="4"/>
  <c r="U202" i="4" s="1"/>
  <c r="BA201" i="4"/>
  <c r="BB201" i="4" s="1"/>
  <c r="AO201" i="4"/>
  <c r="AP201" i="4" s="1"/>
  <c r="AD201" i="4"/>
  <c r="AE201" i="4" s="1"/>
  <c r="T201" i="4"/>
  <c r="U201" i="4" s="1"/>
  <c r="BA200" i="4"/>
  <c r="BB200" i="4" s="1"/>
  <c r="AO200" i="4"/>
  <c r="AP200" i="4" s="1"/>
  <c r="AD200" i="4"/>
  <c r="AE200" i="4" s="1"/>
  <c r="T200" i="4"/>
  <c r="U200" i="4" s="1"/>
  <c r="BA199" i="4"/>
  <c r="BB199" i="4" s="1"/>
  <c r="AO199" i="4"/>
  <c r="AP199" i="4" s="1"/>
  <c r="AD199" i="4"/>
  <c r="AE199" i="4" s="1"/>
  <c r="T199" i="4"/>
  <c r="U199" i="4" s="1"/>
  <c r="BA198" i="4"/>
  <c r="BB198" i="4" s="1"/>
  <c r="AO198" i="4"/>
  <c r="AP198" i="4" s="1"/>
  <c r="AD198" i="4"/>
  <c r="AE198" i="4" s="1"/>
  <c r="T198" i="4"/>
  <c r="U198" i="4" s="1"/>
  <c r="BA197" i="4"/>
  <c r="BB197" i="4" s="1"/>
  <c r="AO197" i="4"/>
  <c r="AP197" i="4" s="1"/>
  <c r="AD197" i="4"/>
  <c r="AE197" i="4" s="1"/>
  <c r="T197" i="4"/>
  <c r="U197" i="4" s="1"/>
  <c r="BA196" i="4"/>
  <c r="BB196" i="4" s="1"/>
  <c r="AO196" i="4"/>
  <c r="AP196" i="4" s="1"/>
  <c r="AD196" i="4"/>
  <c r="AE196" i="4" s="1"/>
  <c r="T196" i="4"/>
  <c r="U196" i="4" s="1"/>
  <c r="BA195" i="4"/>
  <c r="BB195" i="4" s="1"/>
  <c r="AO195" i="4"/>
  <c r="AP195" i="4" s="1"/>
  <c r="AD195" i="4"/>
  <c r="AE195" i="4" s="1"/>
  <c r="T195" i="4"/>
  <c r="U195" i="4" s="1"/>
  <c r="BA194" i="4"/>
  <c r="BB194" i="4" s="1"/>
  <c r="AO194" i="4"/>
  <c r="AP194" i="4" s="1"/>
  <c r="AD194" i="4"/>
  <c r="AE194" i="4" s="1"/>
  <c r="T194" i="4"/>
  <c r="U194" i="4" s="1"/>
  <c r="BA193" i="4"/>
  <c r="BB193" i="4" s="1"/>
  <c r="AO193" i="4"/>
  <c r="AP193" i="4" s="1"/>
  <c r="AD193" i="4"/>
  <c r="AE193" i="4" s="1"/>
  <c r="T193" i="4"/>
  <c r="U193" i="4" s="1"/>
  <c r="BA192" i="4"/>
  <c r="BB192" i="4" s="1"/>
  <c r="AO192" i="4"/>
  <c r="AP192" i="4" s="1"/>
  <c r="AD192" i="4"/>
  <c r="AE192" i="4" s="1"/>
  <c r="T192" i="4"/>
  <c r="U192" i="4" s="1"/>
  <c r="BA191" i="4"/>
  <c r="BB191" i="4" s="1"/>
  <c r="AO191" i="4"/>
  <c r="AP191" i="4" s="1"/>
  <c r="AD191" i="4"/>
  <c r="AE191" i="4" s="1"/>
  <c r="T191" i="4"/>
  <c r="U191" i="4" s="1"/>
  <c r="BA190" i="4"/>
  <c r="BB190" i="4" s="1"/>
  <c r="AO190" i="4"/>
  <c r="AP190" i="4" s="1"/>
  <c r="AD190" i="4"/>
  <c r="AE190" i="4" s="1"/>
  <c r="T190" i="4"/>
  <c r="U190" i="4" s="1"/>
  <c r="BA189" i="4"/>
  <c r="BB189" i="4" s="1"/>
  <c r="AO189" i="4"/>
  <c r="AP189" i="4" s="1"/>
  <c r="AD189" i="4"/>
  <c r="AE189" i="4" s="1"/>
  <c r="T189" i="4"/>
  <c r="U189" i="4" s="1"/>
  <c r="BA188" i="4"/>
  <c r="BB188" i="4" s="1"/>
  <c r="AO188" i="4"/>
  <c r="AP188" i="4" s="1"/>
  <c r="AD188" i="4"/>
  <c r="AE188" i="4" s="1"/>
  <c r="T188" i="4"/>
  <c r="U188" i="4" s="1"/>
  <c r="BA187" i="4"/>
  <c r="BB187" i="4" s="1"/>
  <c r="AO187" i="4"/>
  <c r="AP187" i="4" s="1"/>
  <c r="AD187" i="4"/>
  <c r="AE187" i="4" s="1"/>
  <c r="T187" i="4"/>
  <c r="U187" i="4" s="1"/>
  <c r="BA186" i="4"/>
  <c r="BB186" i="4" s="1"/>
  <c r="AO186" i="4"/>
  <c r="AP186" i="4" s="1"/>
  <c r="AD186" i="4"/>
  <c r="AE186" i="4" s="1"/>
  <c r="T186" i="4"/>
  <c r="U186" i="4" s="1"/>
  <c r="BA185" i="4"/>
  <c r="BB185" i="4" s="1"/>
  <c r="AO185" i="4"/>
  <c r="AP185" i="4" s="1"/>
  <c r="AD185" i="4"/>
  <c r="AE185" i="4" s="1"/>
  <c r="T185" i="4"/>
  <c r="U185" i="4" s="1"/>
  <c r="BA184" i="4"/>
  <c r="BB184" i="4" s="1"/>
  <c r="AO184" i="4"/>
  <c r="AP184" i="4" s="1"/>
  <c r="AD184" i="4"/>
  <c r="AE184" i="4" s="1"/>
  <c r="T184" i="4"/>
  <c r="U184" i="4" s="1"/>
  <c r="BA183" i="4"/>
  <c r="BB183" i="4" s="1"/>
  <c r="AO183" i="4"/>
  <c r="AP183" i="4" s="1"/>
  <c r="AD183" i="4"/>
  <c r="AE183" i="4" s="1"/>
  <c r="T183" i="4"/>
  <c r="U183" i="4" s="1"/>
  <c r="BA182" i="4"/>
  <c r="BB182" i="4" s="1"/>
  <c r="AO182" i="4"/>
  <c r="AP182" i="4" s="1"/>
  <c r="AD182" i="4"/>
  <c r="AE182" i="4" s="1"/>
  <c r="T182" i="4"/>
  <c r="U182" i="4" s="1"/>
  <c r="BA181" i="4"/>
  <c r="BB181" i="4" s="1"/>
  <c r="AO181" i="4"/>
  <c r="AP181" i="4" s="1"/>
  <c r="AD181" i="4"/>
  <c r="AE181" i="4" s="1"/>
  <c r="T181" i="4"/>
  <c r="U181" i="4" s="1"/>
  <c r="BA180" i="4"/>
  <c r="BB180" i="4" s="1"/>
  <c r="AO180" i="4"/>
  <c r="AP180" i="4" s="1"/>
  <c r="AD180" i="4"/>
  <c r="AE180" i="4" s="1"/>
  <c r="T180" i="4"/>
  <c r="U180" i="4" s="1"/>
  <c r="BA179" i="4"/>
  <c r="BB179" i="4" s="1"/>
  <c r="AO179" i="4"/>
  <c r="AP179" i="4" s="1"/>
  <c r="AD179" i="4"/>
  <c r="AE179" i="4" s="1"/>
  <c r="T179" i="4"/>
  <c r="U179" i="4" s="1"/>
  <c r="BA178" i="4"/>
  <c r="BB178" i="4" s="1"/>
  <c r="AO178" i="4"/>
  <c r="AP178" i="4" s="1"/>
  <c r="AD178" i="4"/>
  <c r="AE178" i="4" s="1"/>
  <c r="T178" i="4"/>
  <c r="U178" i="4" s="1"/>
  <c r="BA177" i="4"/>
  <c r="BB177" i="4" s="1"/>
  <c r="AO177" i="4"/>
  <c r="AP177" i="4" s="1"/>
  <c r="AD177" i="4"/>
  <c r="AE177" i="4" s="1"/>
  <c r="T177" i="4"/>
  <c r="U177" i="4" s="1"/>
  <c r="BA176" i="4"/>
  <c r="BB176" i="4" s="1"/>
  <c r="AO176" i="4"/>
  <c r="AP176" i="4" s="1"/>
  <c r="AD176" i="4"/>
  <c r="AE176" i="4" s="1"/>
  <c r="T176" i="4"/>
  <c r="U176" i="4" s="1"/>
  <c r="BA175" i="4"/>
  <c r="BB175" i="4" s="1"/>
  <c r="AO175" i="4"/>
  <c r="AP175" i="4" s="1"/>
  <c r="AD175" i="4"/>
  <c r="AE175" i="4" s="1"/>
  <c r="T175" i="4"/>
  <c r="U175" i="4" s="1"/>
  <c r="BA174" i="4"/>
  <c r="BB174" i="4" s="1"/>
  <c r="AO174" i="4"/>
  <c r="AP174" i="4" s="1"/>
  <c r="AD174" i="4"/>
  <c r="AE174" i="4" s="1"/>
  <c r="T174" i="4"/>
  <c r="U174" i="4" s="1"/>
  <c r="BA173" i="4"/>
  <c r="BB173" i="4" s="1"/>
  <c r="AO173" i="4"/>
  <c r="AP173" i="4" s="1"/>
  <c r="AD173" i="4"/>
  <c r="AE173" i="4" s="1"/>
  <c r="T173" i="4"/>
  <c r="U173" i="4" s="1"/>
  <c r="BA172" i="4"/>
  <c r="BB172" i="4" s="1"/>
  <c r="AO172" i="4"/>
  <c r="AP172" i="4" s="1"/>
  <c r="AD172" i="4"/>
  <c r="AE172" i="4" s="1"/>
  <c r="T172" i="4"/>
  <c r="U172" i="4" s="1"/>
  <c r="BA171" i="4"/>
  <c r="BB171" i="4" s="1"/>
  <c r="AO171" i="4"/>
  <c r="AP171" i="4" s="1"/>
  <c r="AD171" i="4"/>
  <c r="AE171" i="4" s="1"/>
  <c r="T171" i="4"/>
  <c r="U171" i="4" s="1"/>
  <c r="BA170" i="4"/>
  <c r="BB170" i="4" s="1"/>
  <c r="AO170" i="4"/>
  <c r="AP170" i="4" s="1"/>
  <c r="AD170" i="4"/>
  <c r="AE170" i="4" s="1"/>
  <c r="T170" i="4"/>
  <c r="U170" i="4" s="1"/>
  <c r="BA169" i="4"/>
  <c r="BB169" i="4" s="1"/>
  <c r="AO169" i="4"/>
  <c r="AP169" i="4" s="1"/>
  <c r="AD169" i="4"/>
  <c r="AE169" i="4" s="1"/>
  <c r="T169" i="4"/>
  <c r="U169" i="4" s="1"/>
  <c r="BA168" i="4"/>
  <c r="BB168" i="4" s="1"/>
  <c r="AO168" i="4"/>
  <c r="AP168" i="4" s="1"/>
  <c r="AD168" i="4"/>
  <c r="AE168" i="4" s="1"/>
  <c r="T168" i="4"/>
  <c r="U168" i="4" s="1"/>
  <c r="BA167" i="4"/>
  <c r="BB167" i="4" s="1"/>
  <c r="AO167" i="4"/>
  <c r="AP167" i="4" s="1"/>
  <c r="AD167" i="4"/>
  <c r="AE167" i="4" s="1"/>
  <c r="T167" i="4"/>
  <c r="U167" i="4" s="1"/>
  <c r="BA166" i="4"/>
  <c r="BB166" i="4" s="1"/>
  <c r="AO166" i="4"/>
  <c r="AP166" i="4" s="1"/>
  <c r="AD166" i="4"/>
  <c r="AE166" i="4" s="1"/>
  <c r="T166" i="4"/>
  <c r="U166" i="4" s="1"/>
  <c r="BA165" i="4"/>
  <c r="BB165" i="4" s="1"/>
  <c r="AO165" i="4"/>
  <c r="AP165" i="4" s="1"/>
  <c r="AD165" i="4"/>
  <c r="AE165" i="4" s="1"/>
  <c r="T165" i="4"/>
  <c r="U165" i="4" s="1"/>
  <c r="BA164" i="4"/>
  <c r="BB164" i="4" s="1"/>
  <c r="AO164" i="4"/>
  <c r="AP164" i="4" s="1"/>
  <c r="AD164" i="4"/>
  <c r="AE164" i="4" s="1"/>
  <c r="T164" i="4"/>
  <c r="U164" i="4" s="1"/>
  <c r="BA163" i="4"/>
  <c r="BB163" i="4" s="1"/>
  <c r="AO163" i="4"/>
  <c r="AP163" i="4" s="1"/>
  <c r="AD163" i="4"/>
  <c r="AE163" i="4" s="1"/>
  <c r="T163" i="4"/>
  <c r="U163" i="4" s="1"/>
  <c r="BA162" i="4"/>
  <c r="BB162" i="4" s="1"/>
  <c r="AO162" i="4"/>
  <c r="AP162" i="4" s="1"/>
  <c r="AD162" i="4"/>
  <c r="AE162" i="4" s="1"/>
  <c r="T162" i="4"/>
  <c r="U162" i="4" s="1"/>
  <c r="BA161" i="4"/>
  <c r="BB161" i="4" s="1"/>
  <c r="AO161" i="4"/>
  <c r="AP161" i="4" s="1"/>
  <c r="AD161" i="4"/>
  <c r="AE161" i="4" s="1"/>
  <c r="T161" i="4"/>
  <c r="U161" i="4" s="1"/>
  <c r="BA160" i="4"/>
  <c r="BB160" i="4" s="1"/>
  <c r="AO160" i="4"/>
  <c r="AP160" i="4" s="1"/>
  <c r="AD160" i="4"/>
  <c r="AE160" i="4" s="1"/>
  <c r="T160" i="4"/>
  <c r="U160" i="4" s="1"/>
  <c r="BA159" i="4"/>
  <c r="BB159" i="4" s="1"/>
  <c r="AO159" i="4"/>
  <c r="AP159" i="4" s="1"/>
  <c r="AD159" i="4"/>
  <c r="AE159" i="4" s="1"/>
  <c r="T159" i="4"/>
  <c r="U159" i="4" s="1"/>
  <c r="BA158" i="4"/>
  <c r="BB158" i="4" s="1"/>
  <c r="AO158" i="4"/>
  <c r="AP158" i="4" s="1"/>
  <c r="AD158" i="4"/>
  <c r="AE158" i="4" s="1"/>
  <c r="T158" i="4"/>
  <c r="U158" i="4" s="1"/>
  <c r="BA157" i="4"/>
  <c r="BB157" i="4" s="1"/>
  <c r="AO157" i="4"/>
  <c r="AP157" i="4" s="1"/>
  <c r="AD157" i="4"/>
  <c r="AE157" i="4" s="1"/>
  <c r="T157" i="4"/>
  <c r="U157" i="4" s="1"/>
  <c r="BA156" i="4"/>
  <c r="BB156" i="4" s="1"/>
  <c r="AO156" i="4"/>
  <c r="AP156" i="4" s="1"/>
  <c r="AD156" i="4"/>
  <c r="AE156" i="4" s="1"/>
  <c r="T156" i="4"/>
  <c r="U156" i="4" s="1"/>
  <c r="BA155" i="4"/>
  <c r="BB155" i="4" s="1"/>
  <c r="AO155" i="4"/>
  <c r="AP155" i="4" s="1"/>
  <c r="AD155" i="4"/>
  <c r="AE155" i="4" s="1"/>
  <c r="T155" i="4"/>
  <c r="U155" i="4" s="1"/>
  <c r="BA154" i="4"/>
  <c r="BB154" i="4" s="1"/>
  <c r="AO154" i="4"/>
  <c r="AP154" i="4" s="1"/>
  <c r="AD154" i="4"/>
  <c r="AE154" i="4" s="1"/>
  <c r="T154" i="4"/>
  <c r="U154" i="4" s="1"/>
  <c r="BA153" i="4"/>
  <c r="BB153" i="4" s="1"/>
  <c r="AO153" i="4"/>
  <c r="AP153" i="4" s="1"/>
  <c r="AD153" i="4"/>
  <c r="AE153" i="4" s="1"/>
  <c r="T153" i="4"/>
  <c r="U153" i="4" s="1"/>
  <c r="BA152" i="4"/>
  <c r="BB152" i="4" s="1"/>
  <c r="AO152" i="4"/>
  <c r="AP152" i="4" s="1"/>
  <c r="AD152" i="4"/>
  <c r="AE152" i="4" s="1"/>
  <c r="T152" i="4"/>
  <c r="U152" i="4" s="1"/>
  <c r="BA151" i="4"/>
  <c r="BB151" i="4" s="1"/>
  <c r="AO151" i="4"/>
  <c r="AP151" i="4" s="1"/>
  <c r="AD151" i="4"/>
  <c r="AE151" i="4" s="1"/>
  <c r="T151" i="4"/>
  <c r="U151" i="4" s="1"/>
  <c r="BA150" i="4"/>
  <c r="BB150" i="4" s="1"/>
  <c r="AO150" i="4"/>
  <c r="AP150" i="4" s="1"/>
  <c r="AD150" i="4"/>
  <c r="AE150" i="4" s="1"/>
  <c r="T150" i="4"/>
  <c r="U150" i="4" s="1"/>
  <c r="BA149" i="4"/>
  <c r="BB149" i="4" s="1"/>
  <c r="AO149" i="4"/>
  <c r="AP149" i="4" s="1"/>
  <c r="AD149" i="4"/>
  <c r="AE149" i="4" s="1"/>
  <c r="T149" i="4"/>
  <c r="U149" i="4" s="1"/>
  <c r="BA148" i="4"/>
  <c r="BB148" i="4" s="1"/>
  <c r="AO148" i="4"/>
  <c r="AP148" i="4" s="1"/>
  <c r="AD148" i="4"/>
  <c r="AE148" i="4" s="1"/>
  <c r="T148" i="4"/>
  <c r="U148" i="4" s="1"/>
  <c r="BA147" i="4"/>
  <c r="BB147" i="4" s="1"/>
  <c r="AO147" i="4"/>
  <c r="AP147" i="4" s="1"/>
  <c r="AD147" i="4"/>
  <c r="AE147" i="4" s="1"/>
  <c r="T147" i="4"/>
  <c r="U147" i="4" s="1"/>
  <c r="BA146" i="4"/>
  <c r="BB146" i="4" s="1"/>
  <c r="AO146" i="4"/>
  <c r="AP146" i="4" s="1"/>
  <c r="AD146" i="4"/>
  <c r="AE146" i="4" s="1"/>
  <c r="T146" i="4"/>
  <c r="U146" i="4" s="1"/>
  <c r="BA145" i="4"/>
  <c r="BB145" i="4" s="1"/>
  <c r="AO145" i="4"/>
  <c r="AP145" i="4" s="1"/>
  <c r="AD145" i="4"/>
  <c r="AE145" i="4" s="1"/>
  <c r="T145" i="4"/>
  <c r="U145" i="4" s="1"/>
  <c r="BA144" i="4"/>
  <c r="BB144" i="4" s="1"/>
  <c r="AO144" i="4"/>
  <c r="AP144" i="4" s="1"/>
  <c r="AD144" i="4"/>
  <c r="AE144" i="4" s="1"/>
  <c r="T144" i="4"/>
  <c r="U144" i="4" s="1"/>
  <c r="BA143" i="4"/>
  <c r="BB143" i="4" s="1"/>
  <c r="AO143" i="4"/>
  <c r="AP143" i="4" s="1"/>
  <c r="AD143" i="4"/>
  <c r="AE143" i="4" s="1"/>
  <c r="T143" i="4"/>
  <c r="U143" i="4" s="1"/>
  <c r="BA142" i="4"/>
  <c r="BB142" i="4" s="1"/>
  <c r="AO142" i="4"/>
  <c r="AP142" i="4" s="1"/>
  <c r="AD142" i="4"/>
  <c r="AE142" i="4" s="1"/>
  <c r="T142" i="4"/>
  <c r="U142" i="4" s="1"/>
  <c r="BA141" i="4"/>
  <c r="BB141" i="4" s="1"/>
  <c r="AO141" i="4"/>
  <c r="AP141" i="4" s="1"/>
  <c r="AD141" i="4"/>
  <c r="AE141" i="4" s="1"/>
  <c r="T141" i="4"/>
  <c r="U141" i="4" s="1"/>
  <c r="BA140" i="4"/>
  <c r="BB140" i="4" s="1"/>
  <c r="AO140" i="4"/>
  <c r="AP140" i="4" s="1"/>
  <c r="AD140" i="4"/>
  <c r="AE140" i="4" s="1"/>
  <c r="T140" i="4"/>
  <c r="U140" i="4" s="1"/>
  <c r="BA139" i="4"/>
  <c r="BB139" i="4" s="1"/>
  <c r="AO139" i="4"/>
  <c r="AP139" i="4" s="1"/>
  <c r="AD139" i="4"/>
  <c r="AE139" i="4" s="1"/>
  <c r="T139" i="4"/>
  <c r="U139" i="4" s="1"/>
  <c r="BA138" i="4"/>
  <c r="BB138" i="4" s="1"/>
  <c r="AO138" i="4"/>
  <c r="AP138" i="4" s="1"/>
  <c r="AD138" i="4"/>
  <c r="AE138" i="4" s="1"/>
  <c r="T138" i="4"/>
  <c r="U138" i="4" s="1"/>
  <c r="BA137" i="4"/>
  <c r="BB137" i="4" s="1"/>
  <c r="AO137" i="4"/>
  <c r="AP137" i="4" s="1"/>
  <c r="AD137" i="4"/>
  <c r="AE137" i="4" s="1"/>
  <c r="T137" i="4"/>
  <c r="U137" i="4" s="1"/>
  <c r="BA136" i="4"/>
  <c r="BB136" i="4" s="1"/>
  <c r="AO136" i="4"/>
  <c r="AP136" i="4" s="1"/>
  <c r="AD136" i="4"/>
  <c r="AE136" i="4" s="1"/>
  <c r="T136" i="4"/>
  <c r="U136" i="4" s="1"/>
  <c r="BA135" i="4"/>
  <c r="BB135" i="4" s="1"/>
  <c r="AO135" i="4"/>
  <c r="AP135" i="4" s="1"/>
  <c r="AD135" i="4"/>
  <c r="AE135" i="4" s="1"/>
  <c r="T135" i="4"/>
  <c r="U135" i="4" s="1"/>
  <c r="BA134" i="4"/>
  <c r="BB134" i="4" s="1"/>
  <c r="AO134" i="4"/>
  <c r="AP134" i="4" s="1"/>
  <c r="AD134" i="4"/>
  <c r="AE134" i="4" s="1"/>
  <c r="T134" i="4"/>
  <c r="U134" i="4" s="1"/>
  <c r="BA133" i="4"/>
  <c r="BB133" i="4" s="1"/>
  <c r="AO133" i="4"/>
  <c r="AP133" i="4" s="1"/>
  <c r="AD133" i="4"/>
  <c r="AE133" i="4" s="1"/>
  <c r="T133" i="4"/>
  <c r="U133" i="4" s="1"/>
  <c r="BA132" i="4"/>
  <c r="BB132" i="4" s="1"/>
  <c r="AO132" i="4"/>
  <c r="AP132" i="4" s="1"/>
  <c r="AD132" i="4"/>
  <c r="AE132" i="4" s="1"/>
  <c r="T132" i="4"/>
  <c r="U132" i="4" s="1"/>
  <c r="BA131" i="4"/>
  <c r="BB131" i="4" s="1"/>
  <c r="AO131" i="4"/>
  <c r="AP131" i="4" s="1"/>
  <c r="AD131" i="4"/>
  <c r="AE131" i="4" s="1"/>
  <c r="T131" i="4"/>
  <c r="U131" i="4" s="1"/>
  <c r="BA130" i="4"/>
  <c r="BB130" i="4" s="1"/>
  <c r="AO130" i="4"/>
  <c r="AP130" i="4" s="1"/>
  <c r="AD130" i="4"/>
  <c r="AE130" i="4" s="1"/>
  <c r="T130" i="4"/>
  <c r="U130" i="4" s="1"/>
  <c r="BA129" i="4"/>
  <c r="BB129" i="4" s="1"/>
  <c r="AO129" i="4"/>
  <c r="AP129" i="4" s="1"/>
  <c r="AD129" i="4"/>
  <c r="AE129" i="4" s="1"/>
  <c r="T129" i="4"/>
  <c r="U129" i="4" s="1"/>
  <c r="BA128" i="4"/>
  <c r="BB128" i="4" s="1"/>
  <c r="AO128" i="4"/>
  <c r="AP128" i="4" s="1"/>
  <c r="AD128" i="4"/>
  <c r="AE128" i="4" s="1"/>
  <c r="T128" i="4"/>
  <c r="U128" i="4" s="1"/>
  <c r="BA127" i="4"/>
  <c r="BB127" i="4" s="1"/>
  <c r="AO127" i="4"/>
  <c r="AP127" i="4" s="1"/>
  <c r="AD127" i="4"/>
  <c r="AE127" i="4" s="1"/>
  <c r="T127" i="4"/>
  <c r="U127" i="4" s="1"/>
  <c r="BA126" i="4"/>
  <c r="BB126" i="4" s="1"/>
  <c r="AO126" i="4"/>
  <c r="AP126" i="4" s="1"/>
  <c r="AD126" i="4"/>
  <c r="AE126" i="4" s="1"/>
  <c r="T126" i="4"/>
  <c r="U126" i="4" s="1"/>
  <c r="BA125" i="4"/>
  <c r="BB125" i="4" s="1"/>
  <c r="AO125" i="4"/>
  <c r="AP125" i="4" s="1"/>
  <c r="AD125" i="4"/>
  <c r="AE125" i="4" s="1"/>
  <c r="T125" i="4"/>
  <c r="U125" i="4" s="1"/>
  <c r="BA124" i="4"/>
  <c r="BB124" i="4" s="1"/>
  <c r="AO124" i="4"/>
  <c r="AP124" i="4" s="1"/>
  <c r="AD124" i="4"/>
  <c r="AE124" i="4" s="1"/>
  <c r="T124" i="4"/>
  <c r="U124" i="4" s="1"/>
  <c r="BA123" i="4"/>
  <c r="BB123" i="4" s="1"/>
  <c r="AO123" i="4"/>
  <c r="AP123" i="4" s="1"/>
  <c r="AD123" i="4"/>
  <c r="AE123" i="4" s="1"/>
  <c r="T123" i="4"/>
  <c r="U123" i="4" s="1"/>
  <c r="BA122" i="4"/>
  <c r="BB122" i="4" s="1"/>
  <c r="AO122" i="4"/>
  <c r="AP122" i="4" s="1"/>
  <c r="AD122" i="4"/>
  <c r="AE122" i="4" s="1"/>
  <c r="T122" i="4"/>
  <c r="U122" i="4" s="1"/>
  <c r="BA121" i="4"/>
  <c r="BB121" i="4" s="1"/>
  <c r="AO121" i="4"/>
  <c r="AP121" i="4" s="1"/>
  <c r="AD121" i="4"/>
  <c r="AE121" i="4" s="1"/>
  <c r="T121" i="4"/>
  <c r="U121" i="4" s="1"/>
  <c r="BA120" i="4"/>
  <c r="BB120" i="4" s="1"/>
  <c r="AO120" i="4"/>
  <c r="AP120" i="4" s="1"/>
  <c r="AD120" i="4"/>
  <c r="AE120" i="4" s="1"/>
  <c r="T120" i="4"/>
  <c r="U120" i="4" s="1"/>
  <c r="BA119" i="4"/>
  <c r="BB119" i="4" s="1"/>
  <c r="AO119" i="4"/>
  <c r="AP119" i="4" s="1"/>
  <c r="AD119" i="4"/>
  <c r="AE119" i="4" s="1"/>
  <c r="T119" i="4"/>
  <c r="U119" i="4" s="1"/>
  <c r="BA118" i="4"/>
  <c r="BB118" i="4" s="1"/>
  <c r="AO118" i="4"/>
  <c r="AP118" i="4" s="1"/>
  <c r="AD118" i="4"/>
  <c r="AE118" i="4" s="1"/>
  <c r="T118" i="4"/>
  <c r="U118" i="4" s="1"/>
  <c r="BA117" i="4"/>
  <c r="BB117" i="4" s="1"/>
  <c r="AO117" i="4"/>
  <c r="AP117" i="4" s="1"/>
  <c r="AD117" i="4"/>
  <c r="AE117" i="4" s="1"/>
  <c r="T117" i="4"/>
  <c r="U117" i="4" s="1"/>
  <c r="BA116" i="4"/>
  <c r="BB116" i="4" s="1"/>
  <c r="AO116" i="4"/>
  <c r="AP116" i="4" s="1"/>
  <c r="AD116" i="4"/>
  <c r="AE116" i="4" s="1"/>
  <c r="T116" i="4"/>
  <c r="U116" i="4" s="1"/>
  <c r="BA115" i="4"/>
  <c r="BB115" i="4" s="1"/>
  <c r="AO115" i="4"/>
  <c r="AP115" i="4" s="1"/>
  <c r="AD115" i="4"/>
  <c r="AE115" i="4" s="1"/>
  <c r="T115" i="4"/>
  <c r="U115" i="4" s="1"/>
  <c r="BA114" i="4"/>
  <c r="BB114" i="4" s="1"/>
  <c r="AO114" i="4"/>
  <c r="AP114" i="4" s="1"/>
  <c r="AD114" i="4"/>
  <c r="AE114" i="4" s="1"/>
  <c r="T114" i="4"/>
  <c r="U114" i="4" s="1"/>
  <c r="BA113" i="4"/>
  <c r="BB113" i="4" s="1"/>
  <c r="AO113" i="4"/>
  <c r="AP113" i="4" s="1"/>
  <c r="AD113" i="4"/>
  <c r="AE113" i="4" s="1"/>
  <c r="T113" i="4"/>
  <c r="U113" i="4" s="1"/>
  <c r="BA112" i="4"/>
  <c r="BB112" i="4" s="1"/>
  <c r="AO112" i="4"/>
  <c r="AP112" i="4" s="1"/>
  <c r="AD112" i="4"/>
  <c r="AE112" i="4" s="1"/>
  <c r="T112" i="4"/>
  <c r="U112" i="4" s="1"/>
  <c r="BA111" i="4"/>
  <c r="BB111" i="4" s="1"/>
  <c r="AO111" i="4"/>
  <c r="AP111" i="4" s="1"/>
  <c r="AD111" i="4"/>
  <c r="AE111" i="4" s="1"/>
  <c r="T111" i="4"/>
  <c r="U111" i="4" s="1"/>
  <c r="BA110" i="4"/>
  <c r="BB110" i="4" s="1"/>
  <c r="AO110" i="4"/>
  <c r="AP110" i="4" s="1"/>
  <c r="AD110" i="4"/>
  <c r="AE110" i="4" s="1"/>
  <c r="T110" i="4"/>
  <c r="U110" i="4" s="1"/>
  <c r="BA109" i="4"/>
  <c r="BB109" i="4" s="1"/>
  <c r="AO109" i="4"/>
  <c r="AP109" i="4" s="1"/>
  <c r="AD109" i="4"/>
  <c r="AE109" i="4" s="1"/>
  <c r="T109" i="4"/>
  <c r="U109" i="4" s="1"/>
  <c r="BA108" i="4"/>
  <c r="BB108" i="4" s="1"/>
  <c r="AO108" i="4"/>
  <c r="AP108" i="4" s="1"/>
  <c r="AD108" i="4"/>
  <c r="AE108" i="4" s="1"/>
  <c r="T108" i="4"/>
  <c r="U108" i="4" s="1"/>
  <c r="BA107" i="4"/>
  <c r="BB107" i="4" s="1"/>
  <c r="AO107" i="4"/>
  <c r="AP107" i="4" s="1"/>
  <c r="AD107" i="4"/>
  <c r="AE107" i="4" s="1"/>
  <c r="T107" i="4"/>
  <c r="U107" i="4" s="1"/>
  <c r="BA106" i="4"/>
  <c r="BB106" i="4" s="1"/>
  <c r="AO106" i="4"/>
  <c r="AP106" i="4" s="1"/>
  <c r="AD106" i="4"/>
  <c r="AE106" i="4" s="1"/>
  <c r="T106" i="4"/>
  <c r="U106" i="4" s="1"/>
  <c r="BA105" i="4"/>
  <c r="BB105" i="4" s="1"/>
  <c r="AO105" i="4"/>
  <c r="AP105" i="4" s="1"/>
  <c r="AD105" i="4"/>
  <c r="AE105" i="4" s="1"/>
  <c r="T105" i="4"/>
  <c r="U105" i="4" s="1"/>
  <c r="BA104" i="4"/>
  <c r="BB104" i="4" s="1"/>
  <c r="AO104" i="4"/>
  <c r="AP104" i="4" s="1"/>
  <c r="AD104" i="4"/>
  <c r="AE104" i="4" s="1"/>
  <c r="T104" i="4"/>
  <c r="U104" i="4" s="1"/>
  <c r="BA103" i="4"/>
  <c r="BB103" i="4" s="1"/>
  <c r="AO103" i="4"/>
  <c r="AP103" i="4" s="1"/>
  <c r="AD103" i="4"/>
  <c r="AE103" i="4" s="1"/>
  <c r="T103" i="4"/>
  <c r="U103" i="4" s="1"/>
  <c r="BA102" i="4"/>
  <c r="BB102" i="4" s="1"/>
  <c r="AO102" i="4"/>
  <c r="AP102" i="4" s="1"/>
  <c r="AD102" i="4"/>
  <c r="AE102" i="4" s="1"/>
  <c r="T102" i="4"/>
  <c r="U102" i="4" s="1"/>
  <c r="BA101" i="4"/>
  <c r="BB101" i="4" s="1"/>
  <c r="AO101" i="4"/>
  <c r="AP101" i="4" s="1"/>
  <c r="AD101" i="4"/>
  <c r="AE101" i="4" s="1"/>
  <c r="T101" i="4"/>
  <c r="U101" i="4" s="1"/>
  <c r="BA100" i="4"/>
  <c r="BB100" i="4" s="1"/>
  <c r="AO100" i="4"/>
  <c r="AP100" i="4" s="1"/>
  <c r="AD100" i="4"/>
  <c r="AE100" i="4" s="1"/>
  <c r="T100" i="4"/>
  <c r="U100" i="4" s="1"/>
  <c r="BA99" i="4"/>
  <c r="BB99" i="4" s="1"/>
  <c r="AO99" i="4"/>
  <c r="AP99" i="4" s="1"/>
  <c r="AD99" i="4"/>
  <c r="AE99" i="4" s="1"/>
  <c r="T99" i="4"/>
  <c r="U99" i="4" s="1"/>
  <c r="BA98" i="4"/>
  <c r="BB98" i="4" s="1"/>
  <c r="AO98" i="4"/>
  <c r="AP98" i="4" s="1"/>
  <c r="AD98" i="4"/>
  <c r="AE98" i="4" s="1"/>
  <c r="T98" i="4"/>
  <c r="U98" i="4" s="1"/>
  <c r="BA97" i="4"/>
  <c r="BB97" i="4" s="1"/>
  <c r="AO97" i="4"/>
  <c r="AP97" i="4" s="1"/>
  <c r="AD97" i="4"/>
  <c r="AE97" i="4" s="1"/>
  <c r="T97" i="4"/>
  <c r="U97" i="4" s="1"/>
  <c r="BA96" i="4"/>
  <c r="BB96" i="4" s="1"/>
  <c r="AO96" i="4"/>
  <c r="AP96" i="4" s="1"/>
  <c r="AD96" i="4"/>
  <c r="AE96" i="4" s="1"/>
  <c r="T96" i="4"/>
  <c r="U96" i="4" s="1"/>
  <c r="BA95" i="4"/>
  <c r="BB95" i="4" s="1"/>
  <c r="AO95" i="4"/>
  <c r="AP95" i="4" s="1"/>
  <c r="AD95" i="4"/>
  <c r="AE95" i="4" s="1"/>
  <c r="T95" i="4"/>
  <c r="U95" i="4" s="1"/>
  <c r="BA94" i="4"/>
  <c r="BB94" i="4" s="1"/>
  <c r="AO94" i="4"/>
  <c r="AP94" i="4" s="1"/>
  <c r="AD94" i="4"/>
  <c r="AE94" i="4" s="1"/>
  <c r="T94" i="4"/>
  <c r="U94" i="4" s="1"/>
  <c r="BA93" i="4"/>
  <c r="BB93" i="4" s="1"/>
  <c r="AO93" i="4"/>
  <c r="AP93" i="4" s="1"/>
  <c r="AD93" i="4"/>
  <c r="AE93" i="4" s="1"/>
  <c r="T93" i="4"/>
  <c r="U93" i="4" s="1"/>
  <c r="BA92" i="4"/>
  <c r="BB92" i="4" s="1"/>
  <c r="AO92" i="4"/>
  <c r="AP92" i="4" s="1"/>
  <c r="AD92" i="4"/>
  <c r="AE92" i="4" s="1"/>
  <c r="T92" i="4"/>
  <c r="U92" i="4" s="1"/>
  <c r="BA91" i="4"/>
  <c r="BB91" i="4" s="1"/>
  <c r="AO91" i="4"/>
  <c r="AP91" i="4" s="1"/>
  <c r="AD91" i="4"/>
  <c r="AE91" i="4" s="1"/>
  <c r="T91" i="4"/>
  <c r="U91" i="4" s="1"/>
  <c r="BA90" i="4"/>
  <c r="BB90" i="4" s="1"/>
  <c r="AO90" i="4"/>
  <c r="AP90" i="4" s="1"/>
  <c r="AD90" i="4"/>
  <c r="AE90" i="4" s="1"/>
  <c r="T90" i="4"/>
  <c r="U90" i="4" s="1"/>
  <c r="BA89" i="4"/>
  <c r="BB89" i="4" s="1"/>
  <c r="AO89" i="4"/>
  <c r="AP89" i="4" s="1"/>
  <c r="AD89" i="4"/>
  <c r="AE89" i="4" s="1"/>
  <c r="T89" i="4"/>
  <c r="U89" i="4" s="1"/>
  <c r="BA88" i="4"/>
  <c r="BB88" i="4" s="1"/>
  <c r="AO88" i="4"/>
  <c r="AP88" i="4" s="1"/>
  <c r="AD88" i="4"/>
  <c r="AE88" i="4" s="1"/>
  <c r="T88" i="4"/>
  <c r="U88" i="4" s="1"/>
  <c r="BA87" i="4"/>
  <c r="BB87" i="4" s="1"/>
  <c r="AO87" i="4"/>
  <c r="AP87" i="4" s="1"/>
  <c r="AD87" i="4"/>
  <c r="AE87" i="4" s="1"/>
  <c r="T87" i="4"/>
  <c r="U87" i="4" s="1"/>
  <c r="BA86" i="4"/>
  <c r="BB86" i="4" s="1"/>
  <c r="AO86" i="4"/>
  <c r="AP86" i="4" s="1"/>
  <c r="AD86" i="4"/>
  <c r="AE86" i="4" s="1"/>
  <c r="T86" i="4"/>
  <c r="U86" i="4" s="1"/>
  <c r="BA85" i="4"/>
  <c r="BB85" i="4" s="1"/>
  <c r="AO85" i="4"/>
  <c r="AP85" i="4" s="1"/>
  <c r="AD85" i="4"/>
  <c r="AE85" i="4" s="1"/>
  <c r="T85" i="4"/>
  <c r="U85" i="4" s="1"/>
  <c r="BA84" i="4"/>
  <c r="BB84" i="4" s="1"/>
  <c r="AO84" i="4"/>
  <c r="AP84" i="4" s="1"/>
  <c r="AD84" i="4"/>
  <c r="AE84" i="4" s="1"/>
  <c r="T84" i="4"/>
  <c r="U84" i="4" s="1"/>
  <c r="BA83" i="4"/>
  <c r="BB83" i="4" s="1"/>
  <c r="AO83" i="4"/>
  <c r="AP83" i="4" s="1"/>
  <c r="AD83" i="4"/>
  <c r="AE83" i="4" s="1"/>
  <c r="T83" i="4"/>
  <c r="U83" i="4" s="1"/>
  <c r="BA82" i="4"/>
  <c r="BB82" i="4" s="1"/>
  <c r="AO82" i="4"/>
  <c r="AP82" i="4" s="1"/>
  <c r="AD82" i="4"/>
  <c r="AE82" i="4" s="1"/>
  <c r="T82" i="4"/>
  <c r="U82" i="4" s="1"/>
  <c r="BA81" i="4"/>
  <c r="BB81" i="4" s="1"/>
  <c r="AO81" i="4"/>
  <c r="AP81" i="4" s="1"/>
  <c r="AD81" i="4"/>
  <c r="AE81" i="4" s="1"/>
  <c r="T81" i="4"/>
  <c r="U81" i="4" s="1"/>
  <c r="BA80" i="4"/>
  <c r="BB80" i="4" s="1"/>
  <c r="AO80" i="4"/>
  <c r="AP80" i="4" s="1"/>
  <c r="AD80" i="4"/>
  <c r="AE80" i="4" s="1"/>
  <c r="T80" i="4"/>
  <c r="U80" i="4" s="1"/>
  <c r="BA79" i="4"/>
  <c r="BB79" i="4" s="1"/>
  <c r="AO79" i="4"/>
  <c r="AP79" i="4" s="1"/>
  <c r="AD79" i="4"/>
  <c r="AE79" i="4" s="1"/>
  <c r="T79" i="4"/>
  <c r="U79" i="4" s="1"/>
  <c r="BA78" i="4"/>
  <c r="BB78" i="4" s="1"/>
  <c r="AO78" i="4"/>
  <c r="AP78" i="4" s="1"/>
  <c r="AD78" i="4"/>
  <c r="AE78" i="4" s="1"/>
  <c r="T78" i="4"/>
  <c r="U78" i="4" s="1"/>
  <c r="BA77" i="4"/>
  <c r="BB77" i="4" s="1"/>
  <c r="AO77" i="4"/>
  <c r="AP77" i="4" s="1"/>
  <c r="AD77" i="4"/>
  <c r="AE77" i="4" s="1"/>
  <c r="T77" i="4"/>
  <c r="U77" i="4" s="1"/>
  <c r="BA76" i="4"/>
  <c r="BB76" i="4" s="1"/>
  <c r="AO76" i="4"/>
  <c r="AP76" i="4" s="1"/>
  <c r="AD76" i="4"/>
  <c r="AE76" i="4" s="1"/>
  <c r="T76" i="4"/>
  <c r="U76" i="4" s="1"/>
  <c r="BA75" i="4"/>
  <c r="BB75" i="4" s="1"/>
  <c r="AO75" i="4"/>
  <c r="AP75" i="4" s="1"/>
  <c r="AD75" i="4"/>
  <c r="AE75" i="4" s="1"/>
  <c r="T75" i="4"/>
  <c r="U75" i="4" s="1"/>
  <c r="BA74" i="4"/>
  <c r="BB74" i="4" s="1"/>
  <c r="AO74" i="4"/>
  <c r="AP74" i="4" s="1"/>
  <c r="AD74" i="4"/>
  <c r="AE74" i="4" s="1"/>
  <c r="T74" i="4"/>
  <c r="U74" i="4" s="1"/>
  <c r="BA73" i="4"/>
  <c r="BB73" i="4" s="1"/>
  <c r="AO73" i="4"/>
  <c r="AP73" i="4" s="1"/>
  <c r="AD73" i="4"/>
  <c r="AE73" i="4" s="1"/>
  <c r="T73" i="4"/>
  <c r="U73" i="4" s="1"/>
  <c r="BA72" i="4"/>
  <c r="BB72" i="4" s="1"/>
  <c r="AO72" i="4"/>
  <c r="AP72" i="4" s="1"/>
  <c r="AD72" i="4"/>
  <c r="AE72" i="4" s="1"/>
  <c r="T72" i="4"/>
  <c r="U72" i="4" s="1"/>
  <c r="BA71" i="4"/>
  <c r="BB71" i="4" s="1"/>
  <c r="AO71" i="4"/>
  <c r="AP71" i="4" s="1"/>
  <c r="AD71" i="4"/>
  <c r="AE71" i="4" s="1"/>
  <c r="T71" i="4"/>
  <c r="U71" i="4" s="1"/>
  <c r="BA70" i="4"/>
  <c r="BB70" i="4" s="1"/>
  <c r="AO70" i="4"/>
  <c r="AP70" i="4" s="1"/>
  <c r="AD70" i="4"/>
  <c r="AE70" i="4" s="1"/>
  <c r="T70" i="4"/>
  <c r="U70" i="4" s="1"/>
  <c r="BA69" i="4"/>
  <c r="BB69" i="4" s="1"/>
  <c r="AO69" i="4"/>
  <c r="AP69" i="4" s="1"/>
  <c r="AD69" i="4"/>
  <c r="AE69" i="4" s="1"/>
  <c r="T69" i="4"/>
  <c r="U69" i="4" s="1"/>
  <c r="BA68" i="4"/>
  <c r="BB68" i="4" s="1"/>
  <c r="AO68" i="4"/>
  <c r="AP68" i="4" s="1"/>
  <c r="AD68" i="4"/>
  <c r="AE68" i="4" s="1"/>
  <c r="T68" i="4"/>
  <c r="U68" i="4" s="1"/>
  <c r="BA67" i="4"/>
  <c r="BB67" i="4" s="1"/>
  <c r="AO67" i="4"/>
  <c r="AP67" i="4" s="1"/>
  <c r="AD67" i="4"/>
  <c r="AE67" i="4" s="1"/>
  <c r="T67" i="4"/>
  <c r="U67" i="4" s="1"/>
  <c r="BA66" i="4"/>
  <c r="BB66" i="4" s="1"/>
  <c r="AO66" i="4"/>
  <c r="AP66" i="4" s="1"/>
  <c r="AD66" i="4"/>
  <c r="AE66" i="4" s="1"/>
  <c r="T66" i="4"/>
  <c r="U66" i="4" s="1"/>
  <c r="BA65" i="4"/>
  <c r="BB65" i="4" s="1"/>
  <c r="AO65" i="4"/>
  <c r="AP65" i="4" s="1"/>
  <c r="AD65" i="4"/>
  <c r="AE65" i="4" s="1"/>
  <c r="T65" i="4"/>
  <c r="U65" i="4" s="1"/>
  <c r="BA64" i="4"/>
  <c r="BB64" i="4" s="1"/>
  <c r="AO64" i="4"/>
  <c r="AP64" i="4" s="1"/>
  <c r="AD64" i="4"/>
  <c r="AE64" i="4" s="1"/>
  <c r="T64" i="4"/>
  <c r="U64" i="4" s="1"/>
  <c r="BA63" i="4"/>
  <c r="BB63" i="4" s="1"/>
  <c r="AO63" i="4"/>
  <c r="AP63" i="4" s="1"/>
  <c r="AD63" i="4"/>
  <c r="AE63" i="4" s="1"/>
  <c r="T63" i="4"/>
  <c r="U63" i="4" s="1"/>
  <c r="BA62" i="4"/>
  <c r="BB62" i="4" s="1"/>
  <c r="AO62" i="4"/>
  <c r="AP62" i="4" s="1"/>
  <c r="AD62" i="4"/>
  <c r="AE62" i="4" s="1"/>
  <c r="T62" i="4"/>
  <c r="U62" i="4" s="1"/>
  <c r="BA61" i="4"/>
  <c r="BB61" i="4" s="1"/>
  <c r="AO61" i="4"/>
  <c r="AP61" i="4" s="1"/>
  <c r="AD61" i="4"/>
  <c r="AE61" i="4" s="1"/>
  <c r="T61" i="4"/>
  <c r="U61" i="4" s="1"/>
  <c r="BA60" i="4"/>
  <c r="BB60" i="4" s="1"/>
  <c r="AO60" i="4"/>
  <c r="AP60" i="4" s="1"/>
  <c r="AD60" i="4"/>
  <c r="AE60" i="4" s="1"/>
  <c r="T60" i="4"/>
  <c r="U60" i="4" s="1"/>
  <c r="BA59" i="4"/>
  <c r="BB59" i="4" s="1"/>
  <c r="AO59" i="4"/>
  <c r="AP59" i="4" s="1"/>
  <c r="AD59" i="4"/>
  <c r="AE59" i="4" s="1"/>
  <c r="T59" i="4"/>
  <c r="U59" i="4" s="1"/>
  <c r="BA58" i="4"/>
  <c r="BB58" i="4" s="1"/>
  <c r="AO58" i="4"/>
  <c r="AP58" i="4" s="1"/>
  <c r="AD58" i="4"/>
  <c r="AE58" i="4" s="1"/>
  <c r="T58" i="4"/>
  <c r="U58" i="4" s="1"/>
  <c r="BA57" i="4"/>
  <c r="BB57" i="4" s="1"/>
  <c r="AO57" i="4"/>
  <c r="AP57" i="4" s="1"/>
  <c r="AD57" i="4"/>
  <c r="AE57" i="4" s="1"/>
  <c r="T57" i="4"/>
  <c r="U57" i="4" s="1"/>
  <c r="BA56" i="4"/>
  <c r="BB56" i="4" s="1"/>
  <c r="AO56" i="4"/>
  <c r="AP56" i="4" s="1"/>
  <c r="AD56" i="4"/>
  <c r="AE56" i="4" s="1"/>
  <c r="T56" i="4"/>
  <c r="U56" i="4" s="1"/>
  <c r="BA55" i="4"/>
  <c r="BB55" i="4" s="1"/>
  <c r="AO55" i="4"/>
  <c r="AP55" i="4" s="1"/>
  <c r="AD55" i="4"/>
  <c r="AE55" i="4" s="1"/>
  <c r="T55" i="4"/>
  <c r="U55" i="4" s="1"/>
  <c r="BA54" i="4"/>
  <c r="BB54" i="4" s="1"/>
  <c r="AO54" i="4"/>
  <c r="AP54" i="4" s="1"/>
  <c r="AD54" i="4"/>
  <c r="AE54" i="4" s="1"/>
  <c r="T54" i="4"/>
  <c r="U54" i="4" s="1"/>
  <c r="BA53" i="4"/>
  <c r="BB53" i="4" s="1"/>
  <c r="AO53" i="4"/>
  <c r="AP53" i="4" s="1"/>
  <c r="AD53" i="4"/>
  <c r="AE53" i="4" s="1"/>
  <c r="T53" i="4"/>
  <c r="U53" i="4" s="1"/>
  <c r="BA52" i="4"/>
  <c r="BB52" i="4" s="1"/>
  <c r="AO52" i="4"/>
  <c r="AP52" i="4" s="1"/>
  <c r="AD52" i="4"/>
  <c r="AE52" i="4" s="1"/>
  <c r="T52" i="4"/>
  <c r="U52" i="4" s="1"/>
  <c r="BA51" i="4"/>
  <c r="BB51" i="4" s="1"/>
  <c r="AO51" i="4"/>
  <c r="AP51" i="4" s="1"/>
  <c r="AD51" i="4"/>
  <c r="AE51" i="4" s="1"/>
  <c r="T51" i="4"/>
  <c r="U51" i="4" s="1"/>
  <c r="BA50" i="4"/>
  <c r="BB50" i="4" s="1"/>
  <c r="AO50" i="4"/>
  <c r="AP50" i="4" s="1"/>
  <c r="AD50" i="4"/>
  <c r="AE50" i="4" s="1"/>
  <c r="T50" i="4"/>
  <c r="U50" i="4" s="1"/>
  <c r="BA49" i="4"/>
  <c r="BB49" i="4" s="1"/>
  <c r="AO49" i="4"/>
  <c r="AP49" i="4" s="1"/>
  <c r="AD49" i="4"/>
  <c r="AE49" i="4" s="1"/>
  <c r="T49" i="4"/>
  <c r="U49" i="4" s="1"/>
  <c r="BA48" i="4"/>
  <c r="BB48" i="4" s="1"/>
  <c r="AO48" i="4"/>
  <c r="AP48" i="4" s="1"/>
  <c r="AD48" i="4"/>
  <c r="AE48" i="4" s="1"/>
  <c r="T48" i="4"/>
  <c r="U48" i="4" s="1"/>
  <c r="BA47" i="4"/>
  <c r="BB47" i="4" s="1"/>
  <c r="AO47" i="4"/>
  <c r="AP47" i="4" s="1"/>
  <c r="AD47" i="4"/>
  <c r="AE47" i="4" s="1"/>
  <c r="T47" i="4"/>
  <c r="U47" i="4" s="1"/>
  <c r="BA46" i="4"/>
  <c r="BB46" i="4" s="1"/>
  <c r="AO46" i="4"/>
  <c r="AP46" i="4" s="1"/>
  <c r="AD46" i="4"/>
  <c r="AE46" i="4" s="1"/>
  <c r="T46" i="4"/>
  <c r="U46" i="4" s="1"/>
  <c r="BA45" i="4"/>
  <c r="BB45" i="4" s="1"/>
  <c r="AO45" i="4"/>
  <c r="AP45" i="4" s="1"/>
  <c r="AD45" i="4"/>
  <c r="AE45" i="4" s="1"/>
  <c r="T45" i="4"/>
  <c r="U45" i="4" s="1"/>
  <c r="BA44" i="4"/>
  <c r="BB44" i="4" s="1"/>
  <c r="AO44" i="4"/>
  <c r="AP44" i="4" s="1"/>
  <c r="AD44" i="4"/>
  <c r="AE44" i="4" s="1"/>
  <c r="T44" i="4"/>
  <c r="U44" i="4" s="1"/>
  <c r="BA43" i="4"/>
  <c r="BB43" i="4" s="1"/>
  <c r="AO43" i="4"/>
  <c r="AP43" i="4" s="1"/>
  <c r="AD43" i="4"/>
  <c r="AE43" i="4" s="1"/>
  <c r="T43" i="4"/>
  <c r="U43" i="4" s="1"/>
  <c r="BA42" i="4"/>
  <c r="BB42" i="4" s="1"/>
  <c r="AO42" i="4"/>
  <c r="AP42" i="4" s="1"/>
  <c r="AD42" i="4"/>
  <c r="AE42" i="4" s="1"/>
  <c r="T42" i="4"/>
  <c r="U42" i="4" s="1"/>
  <c r="BA41" i="4"/>
  <c r="BB41" i="4" s="1"/>
  <c r="AO41" i="4"/>
  <c r="AP41" i="4" s="1"/>
  <c r="AD41" i="4"/>
  <c r="AE41" i="4" s="1"/>
  <c r="T41" i="4"/>
  <c r="U41" i="4" s="1"/>
  <c r="BA40" i="4"/>
  <c r="BB40" i="4" s="1"/>
  <c r="AO40" i="4"/>
  <c r="AP40" i="4" s="1"/>
  <c r="AD40" i="4"/>
  <c r="AE40" i="4" s="1"/>
  <c r="T40" i="4"/>
  <c r="U40" i="4" s="1"/>
  <c r="BA39" i="4"/>
  <c r="BB39" i="4" s="1"/>
  <c r="AO39" i="4"/>
  <c r="AP39" i="4" s="1"/>
  <c r="AD39" i="4"/>
  <c r="AE39" i="4" s="1"/>
  <c r="T39" i="4"/>
  <c r="U39" i="4" s="1"/>
  <c r="BA38" i="4"/>
  <c r="BB38" i="4" s="1"/>
  <c r="AO38" i="4"/>
  <c r="AP38" i="4" s="1"/>
  <c r="AD38" i="4"/>
  <c r="AE38" i="4" s="1"/>
  <c r="T38" i="4"/>
  <c r="U38" i="4" s="1"/>
  <c r="BA37" i="4"/>
  <c r="BB37" i="4" s="1"/>
  <c r="AO37" i="4"/>
  <c r="AP37" i="4" s="1"/>
  <c r="AD37" i="4"/>
  <c r="AE37" i="4" s="1"/>
  <c r="T37" i="4"/>
  <c r="U37" i="4" s="1"/>
  <c r="BA36" i="4"/>
  <c r="BB36" i="4" s="1"/>
  <c r="AO36" i="4"/>
  <c r="AP36" i="4" s="1"/>
  <c r="AD36" i="4"/>
  <c r="AE36" i="4" s="1"/>
  <c r="T36" i="4"/>
  <c r="U36" i="4" s="1"/>
  <c r="BA35" i="4"/>
  <c r="BB35" i="4" s="1"/>
  <c r="AO35" i="4"/>
  <c r="AP35" i="4" s="1"/>
  <c r="AD35" i="4"/>
  <c r="AE35" i="4" s="1"/>
  <c r="T35" i="4"/>
  <c r="U35" i="4" s="1"/>
  <c r="BA34" i="4"/>
  <c r="BB34" i="4" s="1"/>
  <c r="AO34" i="4"/>
  <c r="AP34" i="4" s="1"/>
  <c r="AD34" i="4"/>
  <c r="AE34" i="4" s="1"/>
  <c r="T34" i="4"/>
  <c r="U34" i="4" s="1"/>
  <c r="BA33" i="4"/>
  <c r="BB33" i="4" s="1"/>
  <c r="AO33" i="4"/>
  <c r="AP33" i="4" s="1"/>
  <c r="AD33" i="4"/>
  <c r="AE33" i="4" s="1"/>
  <c r="T33" i="4"/>
  <c r="U33" i="4" s="1"/>
  <c r="BA32" i="4"/>
  <c r="BB32" i="4" s="1"/>
  <c r="AO32" i="4"/>
  <c r="AP32" i="4" s="1"/>
  <c r="AD32" i="4"/>
  <c r="AE32" i="4" s="1"/>
  <c r="T32" i="4"/>
  <c r="U32" i="4" s="1"/>
  <c r="BA31" i="4"/>
  <c r="BB31" i="4" s="1"/>
  <c r="AO31" i="4"/>
  <c r="AP31" i="4" s="1"/>
  <c r="AD31" i="4"/>
  <c r="AE31" i="4" s="1"/>
  <c r="T31" i="4"/>
  <c r="U31" i="4" s="1"/>
  <c r="BA30" i="4"/>
  <c r="BB30" i="4" s="1"/>
  <c r="AO30" i="4"/>
  <c r="AP30" i="4" s="1"/>
  <c r="AD30" i="4"/>
  <c r="AE30" i="4" s="1"/>
  <c r="T30" i="4"/>
  <c r="U30" i="4" s="1"/>
  <c r="BA29" i="4"/>
  <c r="BB29" i="4" s="1"/>
  <c r="AO29" i="4"/>
  <c r="AP29" i="4" s="1"/>
  <c r="AD29" i="4"/>
  <c r="AE29" i="4" s="1"/>
  <c r="T29" i="4"/>
  <c r="U29" i="4" s="1"/>
  <c r="BA28" i="4"/>
  <c r="BB28" i="4" s="1"/>
  <c r="AO28" i="4"/>
  <c r="AP28" i="4" s="1"/>
  <c r="AD28" i="4"/>
  <c r="AE28" i="4" s="1"/>
  <c r="T28" i="4"/>
  <c r="U28" i="4" s="1"/>
  <c r="BA27" i="4"/>
  <c r="BB27" i="4" s="1"/>
  <c r="AO27" i="4"/>
  <c r="AP27" i="4" s="1"/>
  <c r="AD27" i="4"/>
  <c r="AE27" i="4" s="1"/>
  <c r="T27" i="4"/>
  <c r="U27" i="4" s="1"/>
  <c r="BA26" i="4"/>
  <c r="BB26" i="4" s="1"/>
  <c r="AO26" i="4"/>
  <c r="AP26" i="4" s="1"/>
  <c r="AD26" i="4"/>
  <c r="AE26" i="4" s="1"/>
  <c r="T26" i="4"/>
  <c r="U26" i="4" s="1"/>
  <c r="BA25" i="4"/>
  <c r="BB25" i="4" s="1"/>
  <c r="AO25" i="4"/>
  <c r="AP25" i="4" s="1"/>
  <c r="AD25" i="4"/>
  <c r="AE25" i="4" s="1"/>
  <c r="T25" i="4"/>
  <c r="U25" i="4" s="1"/>
  <c r="BA24" i="4"/>
  <c r="BB24" i="4" s="1"/>
  <c r="AO24" i="4"/>
  <c r="AP24" i="4" s="1"/>
  <c r="AD24" i="4"/>
  <c r="AE24" i="4" s="1"/>
  <c r="T24" i="4"/>
  <c r="U24" i="4" s="1"/>
  <c r="BA23" i="4"/>
  <c r="BB23" i="4" s="1"/>
  <c r="AO23" i="4"/>
  <c r="AP23" i="4" s="1"/>
  <c r="AD23" i="4"/>
  <c r="AE23" i="4" s="1"/>
  <c r="T23" i="4"/>
  <c r="U23" i="4" s="1"/>
  <c r="BA22" i="4"/>
  <c r="BB22" i="4" s="1"/>
  <c r="AO22" i="4"/>
  <c r="AP22" i="4" s="1"/>
  <c r="AD22" i="4"/>
  <c r="AE22" i="4" s="1"/>
  <c r="T22" i="4"/>
  <c r="U22" i="4" s="1"/>
  <c r="BA21" i="4"/>
  <c r="BB21" i="4" s="1"/>
  <c r="AO21" i="4"/>
  <c r="AP21" i="4" s="1"/>
  <c r="AD21" i="4"/>
  <c r="AE21" i="4" s="1"/>
  <c r="T21" i="4"/>
  <c r="U21" i="4" s="1"/>
  <c r="BA20" i="4"/>
  <c r="BB20" i="4" s="1"/>
  <c r="AO20" i="4"/>
  <c r="AP20" i="4" s="1"/>
  <c r="AD20" i="4"/>
  <c r="AE20" i="4" s="1"/>
  <c r="T20" i="4"/>
  <c r="U20" i="4" s="1"/>
  <c r="BA19" i="4"/>
  <c r="BB19" i="4" s="1"/>
  <c r="AO19" i="4"/>
  <c r="AP19" i="4" s="1"/>
  <c r="AD19" i="4"/>
  <c r="AE19" i="4" s="1"/>
  <c r="T19" i="4"/>
  <c r="U19" i="4" s="1"/>
  <c r="BA18" i="4"/>
  <c r="BB18" i="4" s="1"/>
  <c r="AO18" i="4"/>
  <c r="AP18" i="4" s="1"/>
  <c r="AD18" i="4"/>
  <c r="AE18" i="4" s="1"/>
  <c r="T18" i="4"/>
  <c r="U18" i="4" s="1"/>
  <c r="BA17" i="4"/>
  <c r="BB17" i="4" s="1"/>
  <c r="AO17" i="4"/>
  <c r="AP17" i="4" s="1"/>
  <c r="AD17" i="4"/>
  <c r="AE17" i="4" s="1"/>
  <c r="T17" i="4"/>
  <c r="U17" i="4" s="1"/>
  <c r="BA16" i="4"/>
  <c r="BB16" i="4" s="1"/>
  <c r="AO16" i="4"/>
  <c r="AP16" i="4" s="1"/>
  <c r="AD16" i="4"/>
  <c r="AE16" i="4" s="1"/>
  <c r="T16" i="4"/>
  <c r="U16" i="4" s="1"/>
  <c r="BA15" i="4"/>
  <c r="BB15" i="4" s="1"/>
  <c r="AO15" i="4"/>
  <c r="AP15" i="4" s="1"/>
  <c r="AD15" i="4"/>
  <c r="AE15" i="4" s="1"/>
  <c r="T15" i="4"/>
  <c r="U15" i="4" s="1"/>
  <c r="BA14" i="4"/>
  <c r="BB14" i="4" s="1"/>
  <c r="AO14" i="4"/>
  <c r="AP14" i="4" s="1"/>
  <c r="AD14" i="4"/>
  <c r="AE14" i="4" s="1"/>
  <c r="T14" i="4"/>
  <c r="U14" i="4" s="1"/>
  <c r="BA13" i="4"/>
  <c r="BB13" i="4" s="1"/>
  <c r="AO13" i="4"/>
  <c r="AP13" i="4" s="1"/>
  <c r="AD13" i="4"/>
  <c r="AE13" i="4" s="1"/>
  <c r="T13" i="4"/>
  <c r="U13" i="4" s="1"/>
  <c r="BA12" i="4"/>
  <c r="BB12" i="4" s="1"/>
  <c r="AO12" i="4"/>
  <c r="AP12" i="4" s="1"/>
  <c r="AD12" i="4"/>
  <c r="AE12" i="4" s="1"/>
  <c r="T12" i="4"/>
  <c r="U12" i="4" s="1"/>
  <c r="BA11" i="4"/>
  <c r="BB11" i="4" s="1"/>
  <c r="AO11" i="4"/>
  <c r="AP11" i="4" s="1"/>
  <c r="AD11" i="4"/>
  <c r="AE11" i="4" s="1"/>
  <c r="T11" i="4"/>
  <c r="U11" i="4" s="1"/>
  <c r="BA10" i="4"/>
  <c r="BB10" i="4" s="1"/>
  <c r="AO10" i="4"/>
  <c r="AP10" i="4" s="1"/>
  <c r="AD10" i="4"/>
  <c r="AE10" i="4" s="1"/>
  <c r="T10" i="4"/>
  <c r="U10" i="4" s="1"/>
  <c r="BA9" i="4"/>
  <c r="BB9" i="4" s="1"/>
  <c r="AO9" i="4"/>
  <c r="AP9" i="4" s="1"/>
  <c r="AD9" i="4"/>
  <c r="AE9" i="4" s="1"/>
  <c r="T9" i="4"/>
  <c r="U9" i="4" s="1"/>
  <c r="BA8" i="4"/>
  <c r="BB8" i="4" s="1"/>
  <c r="AO8" i="4"/>
  <c r="AP8" i="4" s="1"/>
  <c r="AD8" i="4"/>
  <c r="AE8" i="4" s="1"/>
  <c r="T8" i="4"/>
  <c r="U8" i="4" s="1"/>
  <c r="BA7" i="4"/>
  <c r="BB7" i="4" s="1"/>
  <c r="AO7" i="4"/>
  <c r="AP7" i="4" s="1"/>
  <c r="AD7" i="4"/>
  <c r="AE7" i="4" s="1"/>
  <c r="T7" i="4"/>
  <c r="U7" i="4" s="1"/>
  <c r="BA6" i="4"/>
  <c r="BB6" i="4" s="1"/>
  <c r="AO6" i="4"/>
  <c r="AP6" i="4" s="1"/>
  <c r="AD6" i="4"/>
  <c r="AE6" i="4" s="1"/>
  <c r="T6" i="4"/>
  <c r="U6" i="4" s="1"/>
  <c r="BA5" i="4"/>
  <c r="BB5" i="4" s="1"/>
  <c r="AO5" i="4"/>
  <c r="AP5" i="4" s="1"/>
  <c r="AD5" i="4"/>
  <c r="AE5" i="4" s="1"/>
  <c r="T5" i="4"/>
  <c r="U5" i="4" s="1"/>
  <c r="BA4" i="4"/>
  <c r="BB4" i="4" s="1"/>
  <c r="AO4" i="4"/>
  <c r="AP4" i="4" s="1"/>
  <c r="AD4" i="4"/>
  <c r="AE4" i="4" s="1"/>
  <c r="T4" i="4"/>
  <c r="U4" i="4" s="1"/>
  <c r="BA3" i="4"/>
  <c r="BB3" i="4" s="1"/>
  <c r="AO3" i="4"/>
  <c r="AP3" i="4" s="1"/>
  <c r="AD3" i="4"/>
  <c r="AE3" i="4" s="1"/>
  <c r="T3" i="4"/>
  <c r="U3" i="4" s="1"/>
  <c r="BA2" i="4"/>
  <c r="BB2" i="4" s="1"/>
  <c r="AO2" i="4"/>
  <c r="AP2" i="4" s="1"/>
  <c r="AD2" i="4"/>
  <c r="AE2" i="4" s="1"/>
  <c r="T2" i="4"/>
  <c r="U2" i="4" s="1"/>
</calcChain>
</file>

<file path=xl/sharedStrings.xml><?xml version="1.0" encoding="utf-8"?>
<sst xmlns="http://schemas.openxmlformats.org/spreadsheetml/2006/main" count="2503" uniqueCount="157">
  <si>
    <t>What is your age?</t>
  </si>
  <si>
    <t>What is your sex?</t>
  </si>
  <si>
    <t xml:space="preserve">Where do you live? </t>
  </si>
  <si>
    <t xml:space="preserve">What is your main source of reproductive health information? </t>
  </si>
  <si>
    <t>What is your father's educational qualification?</t>
  </si>
  <si>
    <t xml:space="preserve">What is your mother's educational qualification? </t>
  </si>
  <si>
    <t xml:space="preserve">What type of school do you study in? </t>
  </si>
  <si>
    <t xml:space="preserve">Who do you live with? </t>
  </si>
  <si>
    <t>What is your family's monthly income?</t>
  </si>
  <si>
    <t>Do you have access to the internet at home?</t>
  </si>
  <si>
    <t xml:space="preserve">Do you own a smartphone? </t>
  </si>
  <si>
    <t xml:space="preserve">How often do you search online for reproductive health information? </t>
  </si>
  <si>
    <t>Which online platform do you use most for health information?</t>
  </si>
  <si>
    <t xml:space="preserve">How many hours do you use the internet daily? </t>
  </si>
  <si>
    <t xml:space="preserve">Do you use social media to obtain reproductive health information? </t>
  </si>
  <si>
    <t>Can you easily find reliable reproductive health information online?</t>
  </si>
  <si>
    <t xml:space="preserve">Have you ever used a health-related mobile application? </t>
  </si>
  <si>
    <t xml:space="preserve">Do you trust online reproductive health information? </t>
  </si>
  <si>
    <t xml:space="preserve">Do you verify online health information before believing it? </t>
  </si>
  <si>
    <t>TotalDigitalHealthInformationAccess</t>
  </si>
  <si>
    <t>DigitalHealthInformationAccessPCT</t>
  </si>
  <si>
    <t xml:space="preserve">Have you heard about puberty? </t>
  </si>
  <si>
    <t>Do you know about menstrual hygiene (girls) or nocturnal emission (boys)?</t>
  </si>
  <si>
    <t xml:space="preserve">Have you heard about sexually transmitted infections (STIs)? </t>
  </si>
  <si>
    <t xml:space="preserve">Do you know where to get reproductive health services? </t>
  </si>
  <si>
    <t xml:space="preserve">Do you know the importance of maintaining personal hygiene during puberty? </t>
  </si>
  <si>
    <t>Do you know where to seek help for reproductive health concerns?</t>
  </si>
  <si>
    <t>Do you know that early treatment can prevent complications of reproductive health problems?</t>
  </si>
  <si>
    <t xml:space="preserve">Can you identify reliable reproductive health information from unreliable information? </t>
  </si>
  <si>
    <t>TotalKnowledgeScore</t>
  </si>
  <si>
    <t>KnowledgeScorePCT</t>
  </si>
  <si>
    <t xml:space="preserve">Reproductive health education should be included in schools. </t>
  </si>
  <si>
    <t xml:space="preserve">Digital media is a good source of reproductive health information. </t>
  </si>
  <si>
    <t xml:space="preserve">I feel comfortable discussing reproductive health issues with healthcare professionals. </t>
  </si>
  <si>
    <t xml:space="preserve">Parents should openly discuss reproductive health with adolescents. </t>
  </si>
  <si>
    <t xml:space="preserve">Accurate reproductive health information helps adolescents make healthy decisions. </t>
  </si>
  <si>
    <t xml:space="preserve">Schools should organize reproductive health awareness programs regularly. </t>
  </si>
  <si>
    <t xml:space="preserve">I am interested in learning more about reproductive health. </t>
  </si>
  <si>
    <t xml:space="preserve">Online reproductive health information should be provided by trusted organizations. </t>
  </si>
  <si>
    <t>I am willing to use reliable digital sources for reproductive health information in the future.</t>
  </si>
  <si>
    <t>TotalAttitudeScore</t>
  </si>
  <si>
    <t xml:space="preserve">Do you verify health information before sharing it? </t>
  </si>
  <si>
    <t>KnowledgePCT</t>
  </si>
  <si>
    <t xml:space="preserve">Do you consult a doctor or health worker when you have a reproductive health problem? </t>
  </si>
  <si>
    <t xml:space="preserve">Do you discuss reproductive health issues with your parents or guardians? </t>
  </si>
  <si>
    <t>Do you use trusted websites for reproductive health information?</t>
  </si>
  <si>
    <t>Have you ever participated in a reproductive health awareness program?</t>
  </si>
  <si>
    <t>Do you avoid sharing unverified health information on social media?</t>
  </si>
  <si>
    <t>When you have a reproductive health question, do you first search reliable online sources?</t>
  </si>
  <si>
    <t>Do you regularly use digital media to learn about reproductive health?</t>
  </si>
  <si>
    <t xml:space="preserve">Have you ever discussed reproductive health with a healthcare professional? </t>
  </si>
  <si>
    <t xml:space="preserve">Do you apply reproductive health information in your daily life? </t>
  </si>
  <si>
    <t xml:space="preserve">13–15 years </t>
  </si>
  <si>
    <t>TotalPracticeScore</t>
  </si>
  <si>
    <t xml:space="preserve">Female </t>
  </si>
  <si>
    <t>Rural</t>
  </si>
  <si>
    <t>PracticeScorePTC</t>
  </si>
  <si>
    <t>Parents</t>
  </si>
  <si>
    <t>YouTube</t>
  </si>
  <si>
    <t>Graduate or above</t>
  </si>
  <si>
    <t>Secondary</t>
  </si>
  <si>
    <t>Government</t>
  </si>
  <si>
    <t xml:space="preserve">15,000–30,000 BDT </t>
  </si>
  <si>
    <t xml:space="preserve">Yes </t>
  </si>
  <si>
    <t>Often</t>
  </si>
  <si>
    <t>Agree</t>
  </si>
  <si>
    <t>Always</t>
  </si>
  <si>
    <t xml:space="preserve">Above 18 years </t>
  </si>
  <si>
    <t>Male</t>
  </si>
  <si>
    <t>Urban</t>
  </si>
  <si>
    <t>Internet</t>
  </si>
  <si>
    <t>Higher Secondary</t>
  </si>
  <si>
    <t xml:space="preserve">30,001–50,000 BDT </t>
  </si>
  <si>
    <t>Health Websites</t>
  </si>
  <si>
    <t>16–18 years</t>
  </si>
  <si>
    <t>Friends</t>
  </si>
  <si>
    <t>Private</t>
  </si>
  <si>
    <t>Rarely</t>
  </si>
  <si>
    <t>More than 4 hours</t>
  </si>
  <si>
    <t>Facebook</t>
  </si>
  <si>
    <t>Never</t>
  </si>
  <si>
    <t xml:space="preserve">Below 15,000 BDT </t>
  </si>
  <si>
    <t>Google</t>
  </si>
  <si>
    <t>No</t>
  </si>
  <si>
    <t>Doctor/Health Worker</t>
  </si>
  <si>
    <t>Primary</t>
  </si>
  <si>
    <t>Others</t>
  </si>
  <si>
    <t>Disagree</t>
  </si>
  <si>
    <t>Strongly Disagree</t>
  </si>
  <si>
    <t>Above 18 years</t>
  </si>
  <si>
    <t>Neutral</t>
  </si>
  <si>
    <t>Less than 1 hour</t>
  </si>
  <si>
    <t>No formal education</t>
  </si>
  <si>
    <t xml:space="preserve">10–12 years </t>
  </si>
  <si>
    <t>Sometimes</t>
  </si>
  <si>
    <t>Madrasa</t>
  </si>
  <si>
    <t>Above 50,000 BDT</t>
  </si>
  <si>
    <t>Relatives</t>
  </si>
  <si>
    <t>Mother only</t>
  </si>
  <si>
    <t xml:space="preserve">Mother only </t>
  </si>
  <si>
    <t>School</t>
  </si>
  <si>
    <t>Father only</t>
  </si>
  <si>
    <t xml:space="preserve">Television/Radio </t>
  </si>
  <si>
    <t>Demographic Variables</t>
  </si>
  <si>
    <t>Which class are you studying in?</t>
  </si>
  <si>
    <t xml:space="preserve"> Digital Health Information Access</t>
  </si>
  <si>
    <t>Expected Answer</t>
  </si>
  <si>
    <t>Expected Scoring</t>
  </si>
  <si>
    <t>Answers</t>
  </si>
  <si>
    <t>Yes</t>
  </si>
  <si>
    <t>1-2 hours</t>
  </si>
  <si>
    <t>3-4 hours</t>
  </si>
  <si>
    <t>Strongly Agree</t>
  </si>
  <si>
    <t>Highest Score</t>
  </si>
  <si>
    <t xml:space="preserve"> Reproductive Health Literacy/ Knowledge</t>
  </si>
  <si>
    <t>Highst Score</t>
  </si>
  <si>
    <t>Attitude</t>
  </si>
  <si>
    <t>Practice</t>
  </si>
  <si>
    <t>Calculated Measure</t>
  </si>
  <si>
    <t>TotalDigitalHealthInformationAccess = sum Total Score (10 Questions)</t>
  </si>
  <si>
    <t>TotalKnowledgeScore = sum Total Score (8 Question)</t>
  </si>
  <si>
    <t>TotalAttitudeScore = sum Total Attitude Score (9 Question)</t>
  </si>
  <si>
    <t>TotalPracticeScore = sum Total Practice Score (10 Question)</t>
  </si>
  <si>
    <t>DigitalHealthInformationAccessPCT = (TotalDigitalHealthInformationAccess/Hishest Score(18))*100</t>
  </si>
  <si>
    <t>KnowledgeScorePTC = (TotalKnowledgeScore/Highest Score (8))*100</t>
  </si>
  <si>
    <t>AttitudeScorePTC = (TotalAttitudeScore/Highest Score (45))*100</t>
  </si>
  <si>
    <t>PracticeScorePTC = (TotalPracticeScore/Highest Score (50))*100</t>
  </si>
  <si>
    <t>DIGITAL HEALTH ACCESS LEVEL (ORDINAL)</t>
  </si>
  <si>
    <t>LEVEL</t>
  </si>
  <si>
    <t>CODE</t>
  </si>
  <si>
    <t>0 -24%</t>
  </si>
  <si>
    <t>Low Access</t>
  </si>
  <si>
    <t>25 - 49%</t>
  </si>
  <si>
    <t>Moderate Access</t>
  </si>
  <si>
    <t>50-100%</t>
  </si>
  <si>
    <t>High Access</t>
  </si>
  <si>
    <t xml:space="preserve">KNOWLEDGE LEVEL (ORDINAL) </t>
  </si>
  <si>
    <t>0- 25%</t>
  </si>
  <si>
    <t>Poor</t>
  </si>
  <si>
    <t>26-50%</t>
  </si>
  <si>
    <t>Fair</t>
  </si>
  <si>
    <t>51-75%</t>
  </si>
  <si>
    <t>Good</t>
  </si>
  <si>
    <t>76-100%</t>
  </si>
  <si>
    <t>Excellent</t>
  </si>
  <si>
    <t xml:space="preserve">KNOWLEDGE LEVEL (BINARY) </t>
  </si>
  <si>
    <t>0-50%</t>
  </si>
  <si>
    <t>51 - 100%</t>
  </si>
  <si>
    <t>ATTITUDE LEVEL (ORDINAL)</t>
  </si>
  <si>
    <t>0- 40%</t>
  </si>
  <si>
    <t>Unfavorable</t>
  </si>
  <si>
    <t>41-60%</t>
  </si>
  <si>
    <t>61- 80%</t>
  </si>
  <si>
    <t>Favorable</t>
  </si>
  <si>
    <t>81- 100%</t>
  </si>
  <si>
    <t>Very Favorable</t>
  </si>
  <si>
    <t>PRACTICE LEVEL (ORDINAL)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</si>
</sst>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Arial"/>
      <scheme val="minor"/>
    </font>
    <font>
      <sz val="10"/>
      <color rgb="FFFFFFFF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10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1" borderId="0" xfId="0" applyFont="1" applyFill="1"/>
    <xf numFmtId="0" fontId="1" fillId="0" borderId="0" xfId="0" applyFont="1"/>
    <xf numFmtId="0" fontId="1" fillId="3" borderId="0" xfId="0" applyFont="1" applyFill="1"/>
    <xf numFmtId="0" fontId="1" fillId="12" borderId="0" xfId="0" applyFont="1" applyFill="1"/>
    <xf numFmtId="0" fontId="1" fillId="5" borderId="0" xfId="0" applyFont="1" applyFill="1"/>
    <xf numFmtId="0" fontId="1" fillId="13" borderId="0" xfId="0" applyFont="1" applyFill="1"/>
    <xf numFmtId="0" fontId="1" fillId="9" borderId="0" xfId="0" applyFont="1" applyFill="1"/>
    <xf numFmtId="0" fontId="2" fillId="14" borderId="0" xfId="0" applyFont="1" applyFill="1" applyAlignment="1">
      <alignment horizontal="center"/>
    </xf>
    <xf numFmtId="0" fontId="3" fillId="15" borderId="0" xfId="0" applyFont="1" applyFill="1"/>
    <xf numFmtId="0" fontId="3" fillId="16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8" borderId="0" xfId="0" applyFont="1" applyFill="1"/>
    <xf numFmtId="0" fontId="1" fillId="10" borderId="0" xfId="0" applyFont="1" applyFill="1"/>
  </cellXfs>
  <cellStyles count="1">
    <cellStyle name="Normal" xfId="0" builtinId="0"/>
  </cellStyles>
  <dxfs count="1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Coded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Non-Coded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Form responses 1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aw Data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3" displayName="Table3" ref="A1:BB240">
  <autoFilter ref="A1:BB240" xr:uid="{00000000-000C-0000-FFFF-FFFF03000000}"/>
  <tableColumns count="54">
    <tableColumn id="1" xr3:uid="{00000000-0010-0000-0300-000001000000}" name="What is your age?"/>
    <tableColumn id="2" xr3:uid="{00000000-0010-0000-0300-000002000000}" name="What is your sex?"/>
    <tableColumn id="3" xr3:uid="{00000000-0010-0000-0300-000003000000}" name="Where do you live? "/>
    <tableColumn id="4" xr3:uid="{00000000-0010-0000-0300-000004000000}" name="What is your main source of reproductive health information? "/>
    <tableColumn id="5" xr3:uid="{00000000-0010-0000-0300-000005000000}" name="What is your father's educational qualification?"/>
    <tableColumn id="6" xr3:uid="{00000000-0010-0000-0300-000006000000}" name="What is your mother's educational qualification? "/>
    <tableColumn id="7" xr3:uid="{00000000-0010-0000-0300-000007000000}" name="What type of school do you study in? "/>
    <tableColumn id="8" xr3:uid="{00000000-0010-0000-0300-000008000000}" name="Who do you live with? "/>
    <tableColumn id="9" xr3:uid="{00000000-0010-0000-0300-000009000000}" name="What is your family's monthly income?"/>
    <tableColumn id="10" xr3:uid="{00000000-0010-0000-0300-00000A000000}" name="Do you have access to the internet at home?"/>
    <tableColumn id="11" xr3:uid="{00000000-0010-0000-0300-00000B000000}" name="Do you own a smartphone? "/>
    <tableColumn id="12" xr3:uid="{00000000-0010-0000-0300-00000C000000}" name="How often do you search online for reproductive health information? "/>
    <tableColumn id="13" xr3:uid="{00000000-0010-0000-0300-00000D000000}" name="Which online platform do you use most for health information?"/>
    <tableColumn id="14" xr3:uid="{00000000-0010-0000-0300-00000E000000}" name="How many hours do you use the internet daily? "/>
    <tableColumn id="15" xr3:uid="{00000000-0010-0000-0300-00000F000000}" name="Do you use social media to obtain reproductive health information? "/>
    <tableColumn id="16" xr3:uid="{00000000-0010-0000-0300-000010000000}" name="Can you easily find reliable reproductive health information online?"/>
    <tableColumn id="17" xr3:uid="{00000000-0010-0000-0300-000011000000}" name="Have you ever used a health-related mobile application? "/>
    <tableColumn id="18" xr3:uid="{00000000-0010-0000-0300-000012000000}" name="Do you trust online reproductive health information? "/>
    <tableColumn id="19" xr3:uid="{00000000-0010-0000-0300-000013000000}" name="Do you verify online health information before believing it? "/>
    <tableColumn id="20" xr3:uid="{00000000-0010-0000-0300-000014000000}" name="TotalDigitalHealthInformationAccess"/>
    <tableColumn id="21" xr3:uid="{00000000-0010-0000-0300-000015000000}" name="DigitalHealthInformationAccessPCT"/>
    <tableColumn id="22" xr3:uid="{00000000-0010-0000-0300-000016000000}" name="Have you heard about puberty? "/>
    <tableColumn id="23" xr3:uid="{00000000-0010-0000-0300-000017000000}" name="Do you know about menstrual hygiene (girls) or nocturnal emission (boys)?"/>
    <tableColumn id="24" xr3:uid="{00000000-0010-0000-0300-000018000000}" name="Have you heard about sexually transmitted infections (STIs)? "/>
    <tableColumn id="25" xr3:uid="{00000000-0010-0000-0300-000019000000}" name="Do you know where to get reproductive health services? "/>
    <tableColumn id="26" xr3:uid="{00000000-0010-0000-0300-00001A000000}" name="Do you know the importance of maintaining personal hygiene during puberty? "/>
    <tableColumn id="27" xr3:uid="{00000000-0010-0000-0300-00001B000000}" name="Do you know where to seek help for reproductive health concerns?"/>
    <tableColumn id="28" xr3:uid="{00000000-0010-0000-0300-00001C000000}" name="Do you know that early treatment can prevent complications of reproductive health problems?"/>
    <tableColumn id="29" xr3:uid="{00000000-0010-0000-0300-00001D000000}" name="Can you identify reliable reproductive health information from unreliable information? "/>
    <tableColumn id="30" xr3:uid="{00000000-0010-0000-0300-00001E000000}" name="TotalKnowledgeScore"/>
    <tableColumn id="31" xr3:uid="{00000000-0010-0000-0300-00001F000000}" name="KnowledgeScorePCT"/>
    <tableColumn id="32" xr3:uid="{00000000-0010-0000-0300-000020000000}" name="Reproductive health education should be included in schools. "/>
    <tableColumn id="33" xr3:uid="{00000000-0010-0000-0300-000021000000}" name="Digital media is a good source of reproductive health information. "/>
    <tableColumn id="34" xr3:uid="{00000000-0010-0000-0300-000022000000}" name="I feel comfortable discussing reproductive health issues with healthcare professionals. "/>
    <tableColumn id="35" xr3:uid="{00000000-0010-0000-0300-000023000000}" name="Parents should openly discuss reproductive health with adolescents. "/>
    <tableColumn id="36" xr3:uid="{00000000-0010-0000-0300-000024000000}" name="Accurate reproductive health information helps adolescents make healthy decisions. "/>
    <tableColumn id="37" xr3:uid="{00000000-0010-0000-0300-000025000000}" name="Schools should organize reproductive health awareness programs regularly. "/>
    <tableColumn id="38" xr3:uid="{00000000-0010-0000-0300-000026000000}" name="I am interested in learning more about reproductive health. "/>
    <tableColumn id="39" xr3:uid="{00000000-0010-0000-0300-000027000000}" name="Online reproductive health information should be provided by trusted organizations. "/>
    <tableColumn id="40" xr3:uid="{00000000-0010-0000-0300-000028000000}" name="I am willing to use reliable digital sources for reproductive health information in the future."/>
    <tableColumn id="41" xr3:uid="{00000000-0010-0000-0300-000029000000}" name="TotalAttitudeScore"/>
    <tableColumn id="42" xr3:uid="{00000000-0010-0000-0300-00002A000000}" name="KnowledgePCT"/>
    <tableColumn id="43" xr3:uid="{00000000-0010-0000-0300-00002B000000}" name="Do you verify health information before sharing it? "/>
    <tableColumn id="44" xr3:uid="{00000000-0010-0000-0300-00002C000000}" name="Do you consult a doctor or health worker when you have a reproductive health problem? "/>
    <tableColumn id="45" xr3:uid="{00000000-0010-0000-0300-00002D000000}" name="Do you discuss reproductive health issues with your parents or guardians? "/>
    <tableColumn id="46" xr3:uid="{00000000-0010-0000-0300-00002E000000}" name="Do you use trusted websites for reproductive health information?"/>
    <tableColumn id="47" xr3:uid="{00000000-0010-0000-0300-00002F000000}" name="Have you ever participated in a reproductive health awareness program?"/>
    <tableColumn id="48" xr3:uid="{00000000-0010-0000-0300-000030000000}" name="Do you avoid sharing unverified health information on social media?"/>
    <tableColumn id="49" xr3:uid="{00000000-0010-0000-0300-000031000000}" name="When you have a reproductive health question, do you first search reliable online sources?"/>
    <tableColumn id="50" xr3:uid="{00000000-0010-0000-0300-000032000000}" name="Do you regularly use digital media to learn about reproductive health?"/>
    <tableColumn id="51" xr3:uid="{00000000-0010-0000-0300-000033000000}" name="Have you ever discussed reproductive health with a healthcare professional? "/>
    <tableColumn id="52" xr3:uid="{00000000-0010-0000-0300-000034000000}" name="Do you apply reproductive health information in your daily life? "/>
    <tableColumn id="53" xr3:uid="{00000000-0010-0000-0300-000035000000}" name="TotalPracticeScore"/>
    <tableColumn id="54" xr3:uid="{00000000-0010-0000-0300-000036000000}" name="PracticeScorePTC"/>
  </tableColumns>
  <tableStyleInfo name="Code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B1000"/>
  <sheetViews>
    <sheetView tabSelected="1" topLeftCell="A41" workbookViewId="0">
      <selection activeCell="C46" sqref="C46"/>
    </sheetView>
  </sheetViews>
  <sheetFormatPr defaultColWidth="12.5703125" defaultRowHeight="15.75" customHeight="1" x14ac:dyDescent="0.2"/>
  <sheetData>
    <row r="1" spans="1:5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7" t="s">
        <v>40</v>
      </c>
      <c r="AP1" s="7" t="s">
        <v>42</v>
      </c>
      <c r="AQ1" s="8" t="s">
        <v>41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10" t="s">
        <v>53</v>
      </c>
      <c r="BB1" s="10" t="s">
        <v>56</v>
      </c>
    </row>
    <row r="2" spans="1:54" ht="22.5" customHeight="1" x14ac:dyDescent="0.2">
      <c r="A2" s="9" t="s">
        <v>52</v>
      </c>
      <c r="B2" s="9" t="s">
        <v>54</v>
      </c>
      <c r="C2" s="9" t="s">
        <v>55</v>
      </c>
      <c r="D2" s="1" t="s">
        <v>57</v>
      </c>
      <c r="E2" s="9" t="s">
        <v>59</v>
      </c>
      <c r="F2" s="9" t="s">
        <v>60</v>
      </c>
      <c r="G2" s="9" t="s">
        <v>61</v>
      </c>
      <c r="H2" s="9" t="s">
        <v>57</v>
      </c>
      <c r="I2" s="9" t="s">
        <v>62</v>
      </c>
      <c r="J2" s="11">
        <v>1</v>
      </c>
      <c r="K2" s="11">
        <v>1</v>
      </c>
      <c r="L2" s="11">
        <v>3</v>
      </c>
      <c r="M2" s="11">
        <v>1</v>
      </c>
      <c r="N2" s="11">
        <v>1</v>
      </c>
      <c r="O2" s="11">
        <v>1</v>
      </c>
      <c r="P2" s="11">
        <v>1.5</v>
      </c>
      <c r="Q2" s="11">
        <v>0</v>
      </c>
      <c r="R2" s="11">
        <v>1.5</v>
      </c>
      <c r="S2" s="11">
        <v>1.5</v>
      </c>
      <c r="T2" s="13">
        <f t="shared" ref="T2:T240" si="0">SUM(J2:S2)</f>
        <v>12.5</v>
      </c>
      <c r="U2" s="13">
        <f t="shared" ref="U2:U240" si="1">(T2/18)*100</f>
        <v>69.444444444444443</v>
      </c>
      <c r="V2" s="12">
        <v>1</v>
      </c>
      <c r="W2" s="12">
        <v>1</v>
      </c>
      <c r="X2" s="12">
        <v>0</v>
      </c>
      <c r="Y2" s="12">
        <v>1</v>
      </c>
      <c r="Z2" s="12">
        <v>1</v>
      </c>
      <c r="AA2" s="12">
        <v>1</v>
      </c>
      <c r="AB2" s="12">
        <v>1</v>
      </c>
      <c r="AC2" s="12">
        <v>0</v>
      </c>
      <c r="AD2" s="15">
        <f t="shared" ref="AD2:AD240" si="2">SUM(V2:AC2)</f>
        <v>6</v>
      </c>
      <c r="AE2" s="15">
        <f t="shared" ref="AE2:AE240" si="3">(AD2/8)*100</f>
        <v>75</v>
      </c>
      <c r="AF2" s="14">
        <v>5</v>
      </c>
      <c r="AG2" s="14">
        <v>5</v>
      </c>
      <c r="AH2" s="14">
        <v>3</v>
      </c>
      <c r="AI2" s="14">
        <v>5</v>
      </c>
      <c r="AJ2" s="14">
        <v>5</v>
      </c>
      <c r="AK2" s="14">
        <v>5</v>
      </c>
      <c r="AL2" s="14">
        <v>5</v>
      </c>
      <c r="AM2" s="14">
        <v>5</v>
      </c>
      <c r="AN2" s="14">
        <v>5</v>
      </c>
      <c r="AO2" s="17">
        <f t="shared" ref="AO2:AO240" si="4">SUM(AF2:AN2)</f>
        <v>43</v>
      </c>
      <c r="AP2" s="17">
        <f t="shared" ref="AP2:AP240" si="5">(AO2/45)*100</f>
        <v>95.555555555555557</v>
      </c>
      <c r="AQ2" s="16">
        <v>4</v>
      </c>
      <c r="AR2" s="16">
        <v>5</v>
      </c>
      <c r="AS2" s="16">
        <v>5</v>
      </c>
      <c r="AT2" s="16">
        <v>5</v>
      </c>
      <c r="AU2" s="16">
        <v>1</v>
      </c>
      <c r="AV2" s="16">
        <v>5</v>
      </c>
      <c r="AW2" s="16">
        <v>5</v>
      </c>
      <c r="AX2" s="16">
        <v>5</v>
      </c>
      <c r="AY2" s="16">
        <v>5</v>
      </c>
      <c r="AZ2" s="16">
        <v>4</v>
      </c>
      <c r="BA2" s="18">
        <f t="shared" ref="BA2:BA240" si="6">SUM(AQ2:AZ2)</f>
        <v>44</v>
      </c>
      <c r="BB2" s="18">
        <f t="shared" ref="BB2:BB240" si="7">(BA2/50)*100</f>
        <v>88</v>
      </c>
    </row>
    <row r="3" spans="1:54" ht="22.5" customHeight="1" x14ac:dyDescent="0.2">
      <c r="A3" s="9" t="s">
        <v>67</v>
      </c>
      <c r="B3" s="9" t="s">
        <v>68</v>
      </c>
      <c r="C3" s="9" t="s">
        <v>69</v>
      </c>
      <c r="D3" s="1" t="s">
        <v>70</v>
      </c>
      <c r="E3" s="9" t="s">
        <v>71</v>
      </c>
      <c r="F3" s="9" t="s">
        <v>60</v>
      </c>
      <c r="G3" s="9" t="s">
        <v>61</v>
      </c>
      <c r="H3" s="9" t="s">
        <v>57</v>
      </c>
      <c r="I3" s="9" t="s">
        <v>72</v>
      </c>
      <c r="J3" s="11">
        <v>1</v>
      </c>
      <c r="K3" s="11">
        <v>1</v>
      </c>
      <c r="L3" s="11">
        <v>2</v>
      </c>
      <c r="M3" s="11">
        <v>2</v>
      </c>
      <c r="N3" s="11">
        <v>1.5</v>
      </c>
      <c r="O3" s="11">
        <v>1</v>
      </c>
      <c r="P3" s="11">
        <v>1.5</v>
      </c>
      <c r="Q3" s="11">
        <v>0</v>
      </c>
      <c r="R3" s="11">
        <v>1.5</v>
      </c>
      <c r="S3" s="11">
        <v>2</v>
      </c>
      <c r="T3" s="13">
        <f t="shared" si="0"/>
        <v>13.5</v>
      </c>
      <c r="U3" s="13">
        <f t="shared" si="1"/>
        <v>75</v>
      </c>
      <c r="V3" s="12">
        <v>1</v>
      </c>
      <c r="W3" s="12">
        <v>1</v>
      </c>
      <c r="X3" s="12">
        <v>0</v>
      </c>
      <c r="Y3" s="12">
        <v>1</v>
      </c>
      <c r="Z3" s="12">
        <v>1</v>
      </c>
      <c r="AA3" s="12">
        <v>1</v>
      </c>
      <c r="AB3" s="12">
        <v>1</v>
      </c>
      <c r="AC3" s="12">
        <v>0</v>
      </c>
      <c r="AD3" s="15">
        <f t="shared" si="2"/>
        <v>6</v>
      </c>
      <c r="AE3" s="15">
        <f t="shared" si="3"/>
        <v>75</v>
      </c>
      <c r="AF3" s="14">
        <v>5</v>
      </c>
      <c r="AG3" s="14">
        <v>5</v>
      </c>
      <c r="AH3" s="14">
        <v>4</v>
      </c>
      <c r="AI3" s="14">
        <v>5</v>
      </c>
      <c r="AJ3" s="14">
        <v>4</v>
      </c>
      <c r="AK3" s="14">
        <v>4</v>
      </c>
      <c r="AL3" s="14">
        <v>5</v>
      </c>
      <c r="AM3" s="14">
        <v>5</v>
      </c>
      <c r="AN3" s="14">
        <v>5</v>
      </c>
      <c r="AO3" s="17">
        <f t="shared" si="4"/>
        <v>42</v>
      </c>
      <c r="AP3" s="17">
        <f t="shared" si="5"/>
        <v>93.333333333333329</v>
      </c>
      <c r="AQ3" s="16">
        <v>3</v>
      </c>
      <c r="AR3" s="16">
        <v>3</v>
      </c>
      <c r="AS3" s="16">
        <v>3</v>
      </c>
      <c r="AT3" s="16">
        <v>5</v>
      </c>
      <c r="AU3" s="16">
        <v>1</v>
      </c>
      <c r="AV3" s="16">
        <v>5</v>
      </c>
      <c r="AW3" s="16">
        <v>5</v>
      </c>
      <c r="AX3" s="16">
        <v>5</v>
      </c>
      <c r="AY3" s="16">
        <v>5</v>
      </c>
      <c r="AZ3" s="16">
        <v>5</v>
      </c>
      <c r="BA3" s="18">
        <f t="shared" si="6"/>
        <v>40</v>
      </c>
      <c r="BB3" s="18">
        <f t="shared" si="7"/>
        <v>80</v>
      </c>
    </row>
    <row r="4" spans="1:54" ht="22.5" customHeight="1" x14ac:dyDescent="0.2">
      <c r="A4" s="9" t="s">
        <v>74</v>
      </c>
      <c r="B4" s="9" t="s">
        <v>68</v>
      </c>
      <c r="C4" s="9" t="s">
        <v>69</v>
      </c>
      <c r="D4" s="1" t="s">
        <v>75</v>
      </c>
      <c r="E4" s="9" t="s">
        <v>59</v>
      </c>
      <c r="F4" s="9" t="s">
        <v>60</v>
      </c>
      <c r="G4" s="9" t="s">
        <v>76</v>
      </c>
      <c r="H4" s="9" t="s">
        <v>57</v>
      </c>
      <c r="I4" s="9" t="s">
        <v>72</v>
      </c>
      <c r="J4" s="11">
        <v>1</v>
      </c>
      <c r="K4" s="11">
        <v>1</v>
      </c>
      <c r="L4" s="11">
        <v>1</v>
      </c>
      <c r="M4" s="11">
        <v>1</v>
      </c>
      <c r="N4" s="11">
        <v>2</v>
      </c>
      <c r="O4" s="11">
        <v>1</v>
      </c>
      <c r="P4" s="11">
        <v>1.5</v>
      </c>
      <c r="Q4" s="11">
        <v>1</v>
      </c>
      <c r="R4" s="11">
        <v>1.5</v>
      </c>
      <c r="S4" s="11">
        <v>1</v>
      </c>
      <c r="T4" s="13">
        <f t="shared" si="0"/>
        <v>12</v>
      </c>
      <c r="U4" s="13">
        <f t="shared" si="1"/>
        <v>66.666666666666657</v>
      </c>
      <c r="V4" s="12">
        <v>1</v>
      </c>
      <c r="W4" s="12">
        <v>1</v>
      </c>
      <c r="X4" s="12">
        <v>1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5">
        <f t="shared" si="2"/>
        <v>3</v>
      </c>
      <c r="AE4" s="15">
        <f t="shared" si="3"/>
        <v>37.5</v>
      </c>
      <c r="AF4" s="14">
        <v>4</v>
      </c>
      <c r="AG4" s="14">
        <v>4</v>
      </c>
      <c r="AH4" s="14">
        <v>4</v>
      </c>
      <c r="AI4" s="14">
        <v>4</v>
      </c>
      <c r="AJ4" s="14">
        <v>4</v>
      </c>
      <c r="AK4" s="14">
        <v>4</v>
      </c>
      <c r="AL4" s="14">
        <v>4</v>
      </c>
      <c r="AM4" s="14">
        <v>4</v>
      </c>
      <c r="AN4" s="14">
        <v>4</v>
      </c>
      <c r="AO4" s="17">
        <f t="shared" si="4"/>
        <v>36</v>
      </c>
      <c r="AP4" s="17">
        <f t="shared" si="5"/>
        <v>80</v>
      </c>
      <c r="AQ4" s="16">
        <v>2</v>
      </c>
      <c r="AR4" s="16">
        <v>3</v>
      </c>
      <c r="AS4" s="16">
        <v>2</v>
      </c>
      <c r="AT4" s="16">
        <v>3</v>
      </c>
      <c r="AU4" s="16">
        <v>1</v>
      </c>
      <c r="AV4" s="16">
        <v>1</v>
      </c>
      <c r="AW4" s="16">
        <v>4</v>
      </c>
      <c r="AX4" s="16">
        <v>4</v>
      </c>
      <c r="AY4" s="16">
        <v>5</v>
      </c>
      <c r="AZ4" s="16">
        <v>4</v>
      </c>
      <c r="BA4" s="18">
        <f t="shared" si="6"/>
        <v>29</v>
      </c>
      <c r="BB4" s="18">
        <f t="shared" si="7"/>
        <v>57.999999999999993</v>
      </c>
    </row>
    <row r="5" spans="1:54" ht="22.5" customHeight="1" x14ac:dyDescent="0.2">
      <c r="A5" s="9" t="s">
        <v>52</v>
      </c>
      <c r="B5" s="9" t="s">
        <v>68</v>
      </c>
      <c r="C5" s="9" t="s">
        <v>55</v>
      </c>
      <c r="D5" s="1" t="s">
        <v>70</v>
      </c>
      <c r="E5" s="9" t="s">
        <v>60</v>
      </c>
      <c r="F5" s="9" t="s">
        <v>60</v>
      </c>
      <c r="G5" s="9" t="s">
        <v>76</v>
      </c>
      <c r="H5" s="9" t="s">
        <v>57</v>
      </c>
      <c r="I5" s="9" t="s">
        <v>81</v>
      </c>
      <c r="J5" s="11">
        <v>1</v>
      </c>
      <c r="K5" s="11">
        <v>0</v>
      </c>
      <c r="L5" s="11">
        <v>2</v>
      </c>
      <c r="M5" s="11">
        <v>0.5</v>
      </c>
      <c r="N5" s="11">
        <v>1</v>
      </c>
      <c r="O5" s="11">
        <v>1</v>
      </c>
      <c r="P5" s="11">
        <v>1</v>
      </c>
      <c r="Q5" s="11">
        <v>0</v>
      </c>
      <c r="R5" s="11">
        <v>1</v>
      </c>
      <c r="S5" s="11">
        <v>0.5</v>
      </c>
      <c r="T5" s="13">
        <f t="shared" si="0"/>
        <v>8</v>
      </c>
      <c r="U5" s="13">
        <f t="shared" si="1"/>
        <v>44.444444444444443</v>
      </c>
      <c r="V5" s="12">
        <v>0</v>
      </c>
      <c r="W5" s="12">
        <v>0</v>
      </c>
      <c r="X5" s="12">
        <v>0</v>
      </c>
      <c r="Y5" s="12">
        <v>1</v>
      </c>
      <c r="Z5" s="12">
        <v>0</v>
      </c>
      <c r="AA5" s="12">
        <v>1</v>
      </c>
      <c r="AB5" s="12">
        <v>0</v>
      </c>
      <c r="AC5" s="12">
        <v>0</v>
      </c>
      <c r="AD5" s="15">
        <f t="shared" si="2"/>
        <v>2</v>
      </c>
      <c r="AE5" s="15">
        <f t="shared" si="3"/>
        <v>25</v>
      </c>
      <c r="AF5" s="14">
        <v>5</v>
      </c>
      <c r="AG5" s="14">
        <v>4</v>
      </c>
      <c r="AH5" s="14">
        <v>5</v>
      </c>
      <c r="AI5" s="14">
        <v>5</v>
      </c>
      <c r="AJ5" s="14">
        <v>4</v>
      </c>
      <c r="AK5" s="14">
        <v>4</v>
      </c>
      <c r="AL5" s="14">
        <v>5</v>
      </c>
      <c r="AM5" s="14">
        <v>4</v>
      </c>
      <c r="AN5" s="14">
        <v>4</v>
      </c>
      <c r="AO5" s="17">
        <f t="shared" si="4"/>
        <v>40</v>
      </c>
      <c r="AP5" s="17">
        <f t="shared" si="5"/>
        <v>88.888888888888886</v>
      </c>
      <c r="AQ5" s="16">
        <v>5</v>
      </c>
      <c r="AR5" s="16">
        <v>3</v>
      </c>
      <c r="AS5" s="16">
        <v>3</v>
      </c>
      <c r="AT5" s="16">
        <v>1</v>
      </c>
      <c r="AU5" s="16">
        <v>1</v>
      </c>
      <c r="AV5" s="16">
        <v>5</v>
      </c>
      <c r="AW5" s="16">
        <v>1</v>
      </c>
      <c r="AX5" s="16">
        <v>3</v>
      </c>
      <c r="AY5" s="16">
        <v>1</v>
      </c>
      <c r="AZ5" s="16">
        <v>2</v>
      </c>
      <c r="BA5" s="18">
        <f t="shared" si="6"/>
        <v>25</v>
      </c>
      <c r="BB5" s="18">
        <f t="shared" si="7"/>
        <v>50</v>
      </c>
    </row>
    <row r="6" spans="1:54" ht="22.5" customHeight="1" x14ac:dyDescent="0.2">
      <c r="A6" s="9" t="s">
        <v>52</v>
      </c>
      <c r="B6" s="9" t="s">
        <v>68</v>
      </c>
      <c r="C6" s="9" t="s">
        <v>55</v>
      </c>
      <c r="D6" s="1" t="s">
        <v>84</v>
      </c>
      <c r="E6" s="9" t="s">
        <v>60</v>
      </c>
      <c r="F6" s="9" t="s">
        <v>85</v>
      </c>
      <c r="G6" s="9" t="s">
        <v>61</v>
      </c>
      <c r="H6" s="9" t="s">
        <v>57</v>
      </c>
      <c r="I6" s="9" t="s">
        <v>81</v>
      </c>
      <c r="J6" s="11">
        <v>1</v>
      </c>
      <c r="K6" s="11">
        <v>0</v>
      </c>
      <c r="L6" s="11">
        <v>2</v>
      </c>
      <c r="M6" s="11">
        <v>1</v>
      </c>
      <c r="N6" s="11">
        <v>1</v>
      </c>
      <c r="O6" s="11">
        <v>1</v>
      </c>
      <c r="P6" s="11">
        <v>1.5</v>
      </c>
      <c r="Q6" s="11">
        <v>0</v>
      </c>
      <c r="R6" s="11">
        <v>2</v>
      </c>
      <c r="S6" s="11">
        <v>1.5</v>
      </c>
      <c r="T6" s="13">
        <f t="shared" si="0"/>
        <v>11</v>
      </c>
      <c r="U6" s="13">
        <f t="shared" si="1"/>
        <v>61.111111111111114</v>
      </c>
      <c r="V6" s="12">
        <v>1</v>
      </c>
      <c r="W6" s="12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12">
        <v>1</v>
      </c>
      <c r="AD6" s="15">
        <f t="shared" si="2"/>
        <v>8</v>
      </c>
      <c r="AE6" s="15">
        <f t="shared" si="3"/>
        <v>100</v>
      </c>
      <c r="AF6" s="14">
        <v>5</v>
      </c>
      <c r="AG6" s="14">
        <v>5</v>
      </c>
      <c r="AH6" s="14">
        <v>4</v>
      </c>
      <c r="AI6" s="14">
        <v>4</v>
      </c>
      <c r="AJ6" s="14">
        <v>4</v>
      </c>
      <c r="AK6" s="14">
        <v>4</v>
      </c>
      <c r="AL6" s="14">
        <v>5</v>
      </c>
      <c r="AM6" s="14">
        <v>4</v>
      </c>
      <c r="AN6" s="14">
        <v>4</v>
      </c>
      <c r="AO6" s="17">
        <f t="shared" si="4"/>
        <v>39</v>
      </c>
      <c r="AP6" s="17">
        <f t="shared" si="5"/>
        <v>86.666666666666671</v>
      </c>
      <c r="AQ6" s="16">
        <v>4</v>
      </c>
      <c r="AR6" s="16">
        <v>4</v>
      </c>
      <c r="AS6" s="16">
        <v>3</v>
      </c>
      <c r="AT6" s="16">
        <v>5</v>
      </c>
      <c r="AU6" s="16">
        <v>5</v>
      </c>
      <c r="AV6" s="16">
        <v>5</v>
      </c>
      <c r="AW6" s="16">
        <v>5</v>
      </c>
      <c r="AX6" s="16">
        <v>3</v>
      </c>
      <c r="AY6" s="16">
        <v>5</v>
      </c>
      <c r="AZ6" s="16">
        <v>5</v>
      </c>
      <c r="BA6" s="18">
        <f t="shared" si="6"/>
        <v>44</v>
      </c>
      <c r="BB6" s="18">
        <f t="shared" si="7"/>
        <v>88</v>
      </c>
    </row>
    <row r="7" spans="1:54" ht="22.5" customHeight="1" x14ac:dyDescent="0.2">
      <c r="A7" s="9" t="s">
        <v>52</v>
      </c>
      <c r="B7" s="9" t="s">
        <v>54</v>
      </c>
      <c r="C7" s="9" t="s">
        <v>55</v>
      </c>
      <c r="D7" s="1" t="s">
        <v>75</v>
      </c>
      <c r="E7" s="9" t="s">
        <v>60</v>
      </c>
      <c r="F7" s="9" t="s">
        <v>85</v>
      </c>
      <c r="G7" s="9" t="s">
        <v>61</v>
      </c>
      <c r="H7" s="9" t="s">
        <v>57</v>
      </c>
      <c r="I7" s="9" t="s">
        <v>81</v>
      </c>
      <c r="J7" s="11">
        <v>1</v>
      </c>
      <c r="K7" s="11">
        <v>0</v>
      </c>
      <c r="L7" s="11">
        <v>2</v>
      </c>
      <c r="M7" s="11">
        <v>0</v>
      </c>
      <c r="N7" s="11">
        <v>1</v>
      </c>
      <c r="O7" s="11">
        <v>0</v>
      </c>
      <c r="P7" s="11">
        <v>1</v>
      </c>
      <c r="Q7" s="11">
        <v>0</v>
      </c>
      <c r="R7" s="11">
        <v>0.5</v>
      </c>
      <c r="S7" s="11">
        <v>1</v>
      </c>
      <c r="T7" s="13">
        <f t="shared" si="0"/>
        <v>6.5</v>
      </c>
      <c r="U7" s="13">
        <f t="shared" si="1"/>
        <v>36.111111111111107</v>
      </c>
      <c r="V7" s="12">
        <v>1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5">
        <f t="shared" si="2"/>
        <v>1</v>
      </c>
      <c r="AE7" s="15">
        <f t="shared" si="3"/>
        <v>12.5</v>
      </c>
      <c r="AF7" s="14">
        <v>2</v>
      </c>
      <c r="AG7" s="14">
        <v>3</v>
      </c>
      <c r="AH7" s="14">
        <v>2</v>
      </c>
      <c r="AI7" s="14">
        <v>1</v>
      </c>
      <c r="AJ7" s="14">
        <v>1</v>
      </c>
      <c r="AK7" s="14">
        <v>1</v>
      </c>
      <c r="AL7" s="14">
        <v>1</v>
      </c>
      <c r="AM7" s="14">
        <v>1</v>
      </c>
      <c r="AN7" s="14">
        <v>2</v>
      </c>
      <c r="AO7" s="17">
        <f t="shared" si="4"/>
        <v>14</v>
      </c>
      <c r="AP7" s="17">
        <f t="shared" si="5"/>
        <v>31.111111111111111</v>
      </c>
      <c r="AQ7" s="16">
        <v>5</v>
      </c>
      <c r="AR7" s="16">
        <v>4</v>
      </c>
      <c r="AS7" s="16">
        <v>4</v>
      </c>
      <c r="AT7" s="16">
        <v>3</v>
      </c>
      <c r="AU7" s="16">
        <v>5</v>
      </c>
      <c r="AV7" s="16">
        <v>4</v>
      </c>
      <c r="AW7" s="16">
        <v>2</v>
      </c>
      <c r="AX7" s="16">
        <v>5</v>
      </c>
      <c r="AY7" s="16">
        <v>5</v>
      </c>
      <c r="AZ7" s="16">
        <v>5</v>
      </c>
      <c r="BA7" s="18">
        <f t="shared" si="6"/>
        <v>42</v>
      </c>
      <c r="BB7" s="18">
        <f t="shared" si="7"/>
        <v>84</v>
      </c>
    </row>
    <row r="8" spans="1:54" ht="22.5" customHeight="1" x14ac:dyDescent="0.2">
      <c r="A8" s="9" t="s">
        <v>52</v>
      </c>
      <c r="B8" s="9" t="s">
        <v>68</v>
      </c>
      <c r="C8" s="9" t="s">
        <v>55</v>
      </c>
      <c r="D8" s="1" t="s">
        <v>70</v>
      </c>
      <c r="E8" s="9" t="s">
        <v>85</v>
      </c>
      <c r="F8" s="9" t="s">
        <v>60</v>
      </c>
      <c r="G8" s="9" t="s">
        <v>76</v>
      </c>
      <c r="H8" s="9" t="s">
        <v>57</v>
      </c>
      <c r="I8" s="9" t="s">
        <v>62</v>
      </c>
      <c r="J8" s="11">
        <v>1</v>
      </c>
      <c r="K8" s="11">
        <v>0</v>
      </c>
      <c r="L8" s="11">
        <v>3</v>
      </c>
      <c r="M8" s="11">
        <v>0.5</v>
      </c>
      <c r="N8" s="11">
        <v>1</v>
      </c>
      <c r="O8" s="11">
        <v>0</v>
      </c>
      <c r="P8" s="11">
        <v>1.5</v>
      </c>
      <c r="Q8" s="11">
        <v>0</v>
      </c>
      <c r="R8" s="11">
        <v>1.5</v>
      </c>
      <c r="S8" s="11">
        <v>2</v>
      </c>
      <c r="T8" s="13">
        <f t="shared" si="0"/>
        <v>10.5</v>
      </c>
      <c r="U8" s="13">
        <f t="shared" si="1"/>
        <v>58.333333333333336</v>
      </c>
      <c r="V8" s="12">
        <v>1</v>
      </c>
      <c r="W8" s="12">
        <v>0</v>
      </c>
      <c r="X8" s="12">
        <v>1</v>
      </c>
      <c r="Y8" s="12">
        <v>1</v>
      </c>
      <c r="Z8" s="12">
        <v>1</v>
      </c>
      <c r="AA8" s="12">
        <v>1</v>
      </c>
      <c r="AB8" s="12">
        <v>0</v>
      </c>
      <c r="AC8" s="12">
        <v>0</v>
      </c>
      <c r="AD8" s="15">
        <f t="shared" si="2"/>
        <v>5</v>
      </c>
      <c r="AE8" s="15">
        <f t="shared" si="3"/>
        <v>62.5</v>
      </c>
      <c r="AF8" s="14">
        <v>5</v>
      </c>
      <c r="AG8" s="14">
        <v>3</v>
      </c>
      <c r="AH8" s="14">
        <v>5</v>
      </c>
      <c r="AI8" s="14">
        <v>4</v>
      </c>
      <c r="AJ8" s="14">
        <v>1</v>
      </c>
      <c r="AK8" s="14">
        <v>5</v>
      </c>
      <c r="AL8" s="14">
        <v>3</v>
      </c>
      <c r="AM8" s="14">
        <v>3</v>
      </c>
      <c r="AN8" s="14">
        <v>4</v>
      </c>
      <c r="AO8" s="17">
        <f t="shared" si="4"/>
        <v>33</v>
      </c>
      <c r="AP8" s="17">
        <f t="shared" si="5"/>
        <v>73.333333333333329</v>
      </c>
      <c r="AQ8" s="16">
        <v>4</v>
      </c>
      <c r="AR8" s="16">
        <v>5</v>
      </c>
      <c r="AS8" s="16">
        <v>4</v>
      </c>
      <c r="AT8" s="16">
        <v>1</v>
      </c>
      <c r="AU8" s="16">
        <v>1</v>
      </c>
      <c r="AV8" s="16">
        <v>2</v>
      </c>
      <c r="AW8" s="16">
        <v>1</v>
      </c>
      <c r="AX8" s="16">
        <v>5</v>
      </c>
      <c r="AY8" s="16">
        <v>1</v>
      </c>
      <c r="AZ8" s="16">
        <v>4</v>
      </c>
      <c r="BA8" s="18">
        <f t="shared" si="6"/>
        <v>28</v>
      </c>
      <c r="BB8" s="18">
        <f t="shared" si="7"/>
        <v>56.000000000000007</v>
      </c>
    </row>
    <row r="9" spans="1:54" ht="22.5" customHeight="1" x14ac:dyDescent="0.2">
      <c r="A9" s="9" t="s">
        <v>89</v>
      </c>
      <c r="B9" s="9" t="s">
        <v>54</v>
      </c>
      <c r="C9" s="9" t="s">
        <v>69</v>
      </c>
      <c r="D9" s="1" t="s">
        <v>70</v>
      </c>
      <c r="E9" s="9" t="s">
        <v>71</v>
      </c>
      <c r="F9" s="9" t="s">
        <v>60</v>
      </c>
      <c r="G9" s="9" t="s">
        <v>61</v>
      </c>
      <c r="H9" s="9" t="s">
        <v>57</v>
      </c>
      <c r="I9" s="9" t="s">
        <v>81</v>
      </c>
      <c r="J9" s="11">
        <v>1</v>
      </c>
      <c r="K9" s="11">
        <v>1</v>
      </c>
      <c r="L9" s="11">
        <v>2</v>
      </c>
      <c r="M9" s="11">
        <v>2</v>
      </c>
      <c r="N9" s="11">
        <v>1.5</v>
      </c>
      <c r="O9" s="11">
        <v>0</v>
      </c>
      <c r="P9" s="11">
        <v>0.5</v>
      </c>
      <c r="Q9" s="11">
        <v>1</v>
      </c>
      <c r="R9" s="11">
        <v>1.5</v>
      </c>
      <c r="S9" s="11">
        <v>0.5</v>
      </c>
      <c r="T9" s="13">
        <f t="shared" si="0"/>
        <v>11</v>
      </c>
      <c r="U9" s="13">
        <f t="shared" si="1"/>
        <v>61.111111111111114</v>
      </c>
      <c r="V9" s="12">
        <v>1</v>
      </c>
      <c r="W9" s="12">
        <v>1</v>
      </c>
      <c r="X9" s="12">
        <v>1</v>
      </c>
      <c r="Y9" s="12">
        <v>1</v>
      </c>
      <c r="Z9" s="12">
        <v>1</v>
      </c>
      <c r="AA9" s="12">
        <v>1</v>
      </c>
      <c r="AB9" s="12">
        <v>1</v>
      </c>
      <c r="AC9" s="12">
        <v>1</v>
      </c>
      <c r="AD9" s="15">
        <f t="shared" si="2"/>
        <v>8</v>
      </c>
      <c r="AE9" s="15">
        <f t="shared" si="3"/>
        <v>100</v>
      </c>
      <c r="AF9" s="14">
        <v>5</v>
      </c>
      <c r="AG9" s="14">
        <v>3</v>
      </c>
      <c r="AH9" s="14">
        <v>5</v>
      </c>
      <c r="AI9" s="14">
        <v>4</v>
      </c>
      <c r="AJ9" s="14">
        <v>4</v>
      </c>
      <c r="AK9" s="14">
        <v>4</v>
      </c>
      <c r="AL9" s="14">
        <v>3</v>
      </c>
      <c r="AM9" s="14">
        <v>3</v>
      </c>
      <c r="AN9" s="14">
        <v>4</v>
      </c>
      <c r="AO9" s="17">
        <f t="shared" si="4"/>
        <v>35</v>
      </c>
      <c r="AP9" s="17">
        <f t="shared" si="5"/>
        <v>77.777777777777786</v>
      </c>
      <c r="AQ9" s="16">
        <v>5</v>
      </c>
      <c r="AR9" s="16">
        <v>5</v>
      </c>
      <c r="AS9" s="16">
        <v>5</v>
      </c>
      <c r="AT9" s="16">
        <v>4</v>
      </c>
      <c r="AU9" s="16">
        <v>1</v>
      </c>
      <c r="AV9" s="16">
        <v>5</v>
      </c>
      <c r="AW9" s="16">
        <v>3</v>
      </c>
      <c r="AX9" s="16">
        <v>3</v>
      </c>
      <c r="AY9" s="16">
        <v>5</v>
      </c>
      <c r="AZ9" s="16">
        <v>5</v>
      </c>
      <c r="BA9" s="18">
        <f t="shared" si="6"/>
        <v>41</v>
      </c>
      <c r="BB9" s="18">
        <f t="shared" si="7"/>
        <v>82</v>
      </c>
    </row>
    <row r="10" spans="1:54" ht="22.5" customHeight="1" x14ac:dyDescent="0.2">
      <c r="A10" s="9" t="s">
        <v>74</v>
      </c>
      <c r="B10" s="9" t="s">
        <v>68</v>
      </c>
      <c r="C10" s="9" t="s">
        <v>55</v>
      </c>
      <c r="D10" s="1" t="s">
        <v>75</v>
      </c>
      <c r="E10" s="9" t="s">
        <v>71</v>
      </c>
      <c r="F10" s="9" t="s">
        <v>60</v>
      </c>
      <c r="G10" s="9" t="s">
        <v>61</v>
      </c>
      <c r="H10" s="9" t="s">
        <v>57</v>
      </c>
      <c r="I10" s="9" t="s">
        <v>72</v>
      </c>
      <c r="J10" s="11">
        <v>0</v>
      </c>
      <c r="K10" s="11">
        <v>0</v>
      </c>
      <c r="L10" s="11">
        <v>0</v>
      </c>
      <c r="M10" s="11">
        <v>0</v>
      </c>
      <c r="N10" s="11">
        <v>0.5</v>
      </c>
      <c r="O10" s="11">
        <v>0</v>
      </c>
      <c r="P10" s="11">
        <v>0</v>
      </c>
      <c r="Q10" s="11">
        <v>0</v>
      </c>
      <c r="R10" s="11">
        <v>1</v>
      </c>
      <c r="S10" s="11">
        <v>0.5</v>
      </c>
      <c r="T10" s="13">
        <f t="shared" si="0"/>
        <v>2</v>
      </c>
      <c r="U10" s="13">
        <f t="shared" si="1"/>
        <v>11.111111111111111</v>
      </c>
      <c r="V10" s="12">
        <v>1</v>
      </c>
      <c r="W10" s="12">
        <v>1</v>
      </c>
      <c r="X10" s="12">
        <v>1</v>
      </c>
      <c r="Y10" s="12">
        <v>1</v>
      </c>
      <c r="Z10" s="12">
        <v>1</v>
      </c>
      <c r="AA10" s="12">
        <v>0</v>
      </c>
      <c r="AB10" s="12">
        <v>1</v>
      </c>
      <c r="AC10" s="12">
        <v>0</v>
      </c>
      <c r="AD10" s="15">
        <f t="shared" si="2"/>
        <v>6</v>
      </c>
      <c r="AE10" s="15">
        <f t="shared" si="3"/>
        <v>75</v>
      </c>
      <c r="AF10" s="14">
        <v>5</v>
      </c>
      <c r="AG10" s="14">
        <v>3</v>
      </c>
      <c r="AH10" s="14">
        <v>4</v>
      </c>
      <c r="AI10" s="14">
        <v>4</v>
      </c>
      <c r="AJ10" s="14">
        <v>4</v>
      </c>
      <c r="AK10" s="14">
        <v>4</v>
      </c>
      <c r="AL10" s="14">
        <v>3</v>
      </c>
      <c r="AM10" s="14">
        <v>3</v>
      </c>
      <c r="AN10" s="14">
        <v>5</v>
      </c>
      <c r="AO10" s="17">
        <f t="shared" si="4"/>
        <v>35</v>
      </c>
      <c r="AP10" s="17">
        <f t="shared" si="5"/>
        <v>77.777777777777786</v>
      </c>
      <c r="AQ10" s="16">
        <v>1</v>
      </c>
      <c r="AR10" s="16">
        <v>2</v>
      </c>
      <c r="AS10" s="16">
        <v>1</v>
      </c>
      <c r="AT10" s="16">
        <v>1</v>
      </c>
      <c r="AU10" s="16">
        <v>1</v>
      </c>
      <c r="AV10" s="16">
        <v>1</v>
      </c>
      <c r="AW10" s="16">
        <v>3</v>
      </c>
      <c r="AX10" s="16">
        <v>1</v>
      </c>
      <c r="AY10" s="16">
        <v>5</v>
      </c>
      <c r="AZ10" s="16">
        <v>2</v>
      </c>
      <c r="BA10" s="18">
        <f t="shared" si="6"/>
        <v>18</v>
      </c>
      <c r="BB10" s="18">
        <f t="shared" si="7"/>
        <v>36</v>
      </c>
    </row>
    <row r="11" spans="1:54" ht="22.5" customHeight="1" x14ac:dyDescent="0.2">
      <c r="A11" s="9" t="s">
        <v>67</v>
      </c>
      <c r="B11" s="9" t="s">
        <v>68</v>
      </c>
      <c r="C11" s="9" t="s">
        <v>55</v>
      </c>
      <c r="D11" s="1" t="s">
        <v>57</v>
      </c>
      <c r="E11" s="9" t="s">
        <v>92</v>
      </c>
      <c r="F11" s="9" t="s">
        <v>85</v>
      </c>
      <c r="G11" s="9" t="s">
        <v>61</v>
      </c>
      <c r="H11" s="9" t="s">
        <v>57</v>
      </c>
      <c r="I11" s="9" t="s">
        <v>81</v>
      </c>
      <c r="J11" s="11">
        <v>1</v>
      </c>
      <c r="K11" s="11">
        <v>1</v>
      </c>
      <c r="L11" s="11">
        <v>2</v>
      </c>
      <c r="M11" s="11">
        <v>0.5</v>
      </c>
      <c r="N11" s="11">
        <v>1.5</v>
      </c>
      <c r="O11" s="11">
        <v>1</v>
      </c>
      <c r="P11" s="11">
        <v>1</v>
      </c>
      <c r="Q11" s="11">
        <v>0</v>
      </c>
      <c r="R11" s="11">
        <v>1</v>
      </c>
      <c r="S11" s="11">
        <v>0.5</v>
      </c>
      <c r="T11" s="13">
        <f t="shared" si="0"/>
        <v>9.5</v>
      </c>
      <c r="U11" s="13">
        <f t="shared" si="1"/>
        <v>52.777777777777779</v>
      </c>
      <c r="V11" s="12">
        <v>1</v>
      </c>
      <c r="W11" s="12">
        <v>1</v>
      </c>
      <c r="X11" s="12">
        <v>1</v>
      </c>
      <c r="Y11" s="12">
        <v>1</v>
      </c>
      <c r="Z11" s="12">
        <v>1</v>
      </c>
      <c r="AA11" s="12">
        <v>1</v>
      </c>
      <c r="AB11" s="12">
        <v>1</v>
      </c>
      <c r="AC11" s="12">
        <v>1</v>
      </c>
      <c r="AD11" s="15">
        <f t="shared" si="2"/>
        <v>8</v>
      </c>
      <c r="AE11" s="15">
        <f t="shared" si="3"/>
        <v>100</v>
      </c>
      <c r="AF11" s="14">
        <v>5</v>
      </c>
      <c r="AG11" s="14">
        <v>4</v>
      </c>
      <c r="AH11" s="14">
        <v>3</v>
      </c>
      <c r="AI11" s="14">
        <v>4</v>
      </c>
      <c r="AJ11" s="14">
        <v>4</v>
      </c>
      <c r="AK11" s="14">
        <v>4</v>
      </c>
      <c r="AL11" s="14">
        <v>4</v>
      </c>
      <c r="AM11" s="14">
        <v>4</v>
      </c>
      <c r="AN11" s="14">
        <v>4</v>
      </c>
      <c r="AO11" s="17">
        <f t="shared" si="4"/>
        <v>36</v>
      </c>
      <c r="AP11" s="17">
        <f t="shared" si="5"/>
        <v>80</v>
      </c>
      <c r="AQ11" s="16">
        <v>3</v>
      </c>
      <c r="AR11" s="16">
        <v>3</v>
      </c>
      <c r="AS11" s="16">
        <v>3</v>
      </c>
      <c r="AT11" s="16">
        <v>4</v>
      </c>
      <c r="AU11" s="16">
        <v>5</v>
      </c>
      <c r="AV11" s="16">
        <v>2</v>
      </c>
      <c r="AW11" s="16">
        <v>4</v>
      </c>
      <c r="AX11" s="16">
        <v>3</v>
      </c>
      <c r="AY11" s="16">
        <v>5</v>
      </c>
      <c r="AZ11" s="16">
        <v>4</v>
      </c>
      <c r="BA11" s="18">
        <f t="shared" si="6"/>
        <v>36</v>
      </c>
      <c r="BB11" s="18">
        <f t="shared" si="7"/>
        <v>72</v>
      </c>
    </row>
    <row r="12" spans="1:54" ht="22.5" customHeight="1" x14ac:dyDescent="0.2">
      <c r="A12" s="9" t="s">
        <v>93</v>
      </c>
      <c r="B12" s="9" t="s">
        <v>54</v>
      </c>
      <c r="C12" s="9" t="s">
        <v>55</v>
      </c>
      <c r="D12" s="1" t="s">
        <v>57</v>
      </c>
      <c r="E12" s="9" t="s">
        <v>71</v>
      </c>
      <c r="F12" s="9" t="s">
        <v>85</v>
      </c>
      <c r="G12" s="9" t="s">
        <v>61</v>
      </c>
      <c r="H12" s="9" t="s">
        <v>57</v>
      </c>
      <c r="I12" s="9" t="s">
        <v>62</v>
      </c>
      <c r="J12" s="11">
        <v>0</v>
      </c>
      <c r="K12" s="11">
        <v>0</v>
      </c>
      <c r="L12" s="11">
        <v>1</v>
      </c>
      <c r="M12" s="11">
        <v>0</v>
      </c>
      <c r="N12" s="11">
        <v>0.5</v>
      </c>
      <c r="O12" s="11">
        <v>0</v>
      </c>
      <c r="P12" s="11">
        <v>0.5</v>
      </c>
      <c r="Q12" s="11">
        <v>0</v>
      </c>
      <c r="R12" s="11">
        <v>1</v>
      </c>
      <c r="S12" s="11">
        <v>1</v>
      </c>
      <c r="T12" s="13">
        <f t="shared" si="0"/>
        <v>4</v>
      </c>
      <c r="U12" s="13">
        <f t="shared" si="1"/>
        <v>22.222222222222221</v>
      </c>
      <c r="V12" s="12">
        <v>1</v>
      </c>
      <c r="W12" s="12">
        <v>1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1</v>
      </c>
      <c r="AD12" s="15">
        <f t="shared" si="2"/>
        <v>3</v>
      </c>
      <c r="AE12" s="15">
        <f t="shared" si="3"/>
        <v>37.5</v>
      </c>
      <c r="AF12" s="14">
        <v>3</v>
      </c>
      <c r="AG12" s="14">
        <v>3</v>
      </c>
      <c r="AH12" s="14">
        <v>3</v>
      </c>
      <c r="AI12" s="14">
        <v>4</v>
      </c>
      <c r="AJ12" s="14">
        <v>4</v>
      </c>
      <c r="AK12" s="14">
        <v>4</v>
      </c>
      <c r="AL12" s="14">
        <v>4</v>
      </c>
      <c r="AM12" s="14">
        <v>3</v>
      </c>
      <c r="AN12" s="14">
        <v>4</v>
      </c>
      <c r="AO12" s="17">
        <f t="shared" si="4"/>
        <v>32</v>
      </c>
      <c r="AP12" s="17">
        <f t="shared" si="5"/>
        <v>71.111111111111114</v>
      </c>
      <c r="AQ12" s="16">
        <v>3</v>
      </c>
      <c r="AR12" s="16">
        <v>3</v>
      </c>
      <c r="AS12" s="16">
        <v>3</v>
      </c>
      <c r="AT12" s="16">
        <v>2</v>
      </c>
      <c r="AU12" s="16">
        <v>1</v>
      </c>
      <c r="AV12" s="16">
        <v>3</v>
      </c>
      <c r="AW12" s="16">
        <v>3</v>
      </c>
      <c r="AX12" s="16">
        <v>2</v>
      </c>
      <c r="AY12" s="16">
        <v>1</v>
      </c>
      <c r="AZ12" s="16">
        <v>3</v>
      </c>
      <c r="BA12" s="18">
        <f t="shared" si="6"/>
        <v>24</v>
      </c>
      <c r="BB12" s="18">
        <f t="shared" si="7"/>
        <v>48</v>
      </c>
    </row>
    <row r="13" spans="1:54" ht="22.5" customHeight="1" x14ac:dyDescent="0.2">
      <c r="A13" s="9" t="s">
        <v>52</v>
      </c>
      <c r="B13" s="9" t="s">
        <v>54</v>
      </c>
      <c r="C13" s="9" t="s">
        <v>55</v>
      </c>
      <c r="D13" s="1" t="s">
        <v>57</v>
      </c>
      <c r="E13" s="9" t="s">
        <v>71</v>
      </c>
      <c r="F13" s="9" t="s">
        <v>92</v>
      </c>
      <c r="G13" s="9" t="s">
        <v>95</v>
      </c>
      <c r="H13" s="9" t="s">
        <v>57</v>
      </c>
      <c r="I13" s="9" t="s">
        <v>62</v>
      </c>
      <c r="J13" s="11">
        <v>0</v>
      </c>
      <c r="K13" s="11">
        <v>0</v>
      </c>
      <c r="L13" s="11">
        <v>0</v>
      </c>
      <c r="M13" s="11">
        <v>0</v>
      </c>
      <c r="N13" s="11">
        <v>0.5</v>
      </c>
      <c r="O13" s="11">
        <v>0</v>
      </c>
      <c r="P13" s="11">
        <v>0</v>
      </c>
      <c r="Q13" s="11">
        <v>0</v>
      </c>
      <c r="R13" s="11">
        <v>1</v>
      </c>
      <c r="S13" s="11">
        <v>0.5</v>
      </c>
      <c r="T13" s="13">
        <f t="shared" si="0"/>
        <v>2</v>
      </c>
      <c r="U13" s="13">
        <f t="shared" si="1"/>
        <v>11.111111111111111</v>
      </c>
      <c r="V13" s="12">
        <v>1</v>
      </c>
      <c r="W13" s="12">
        <v>1</v>
      </c>
      <c r="X13" s="12">
        <v>1</v>
      </c>
      <c r="Y13" s="12">
        <v>1</v>
      </c>
      <c r="Z13" s="12">
        <v>1</v>
      </c>
      <c r="AA13" s="12">
        <v>1</v>
      </c>
      <c r="AB13" s="12">
        <v>1</v>
      </c>
      <c r="AC13" s="12">
        <v>1</v>
      </c>
      <c r="AD13" s="15">
        <f t="shared" si="2"/>
        <v>8</v>
      </c>
      <c r="AE13" s="15">
        <f t="shared" si="3"/>
        <v>100</v>
      </c>
      <c r="AF13" s="14">
        <v>3</v>
      </c>
      <c r="AG13" s="14">
        <v>4</v>
      </c>
      <c r="AH13" s="14">
        <v>5</v>
      </c>
      <c r="AI13" s="14">
        <v>3</v>
      </c>
      <c r="AJ13" s="14">
        <v>4</v>
      </c>
      <c r="AK13" s="14">
        <v>4</v>
      </c>
      <c r="AL13" s="14">
        <v>3</v>
      </c>
      <c r="AM13" s="14">
        <v>4</v>
      </c>
      <c r="AN13" s="14">
        <v>4</v>
      </c>
      <c r="AO13" s="17">
        <f t="shared" si="4"/>
        <v>34</v>
      </c>
      <c r="AP13" s="17">
        <f t="shared" si="5"/>
        <v>75.555555555555557</v>
      </c>
      <c r="AQ13" s="16">
        <v>2</v>
      </c>
      <c r="AR13" s="16">
        <v>2</v>
      </c>
      <c r="AS13" s="16">
        <v>3</v>
      </c>
      <c r="AT13" s="16">
        <v>4</v>
      </c>
      <c r="AU13" s="16">
        <v>5</v>
      </c>
      <c r="AV13" s="16">
        <v>1</v>
      </c>
      <c r="AW13" s="16">
        <v>1</v>
      </c>
      <c r="AX13" s="16">
        <v>1</v>
      </c>
      <c r="AY13" s="16">
        <v>1</v>
      </c>
      <c r="AZ13" s="16">
        <v>2</v>
      </c>
      <c r="BA13" s="18">
        <f t="shared" si="6"/>
        <v>22</v>
      </c>
      <c r="BB13" s="18">
        <f t="shared" si="7"/>
        <v>44</v>
      </c>
    </row>
    <row r="14" spans="1:54" ht="22.5" customHeight="1" x14ac:dyDescent="0.2">
      <c r="A14" s="9" t="s">
        <v>67</v>
      </c>
      <c r="B14" s="9" t="s">
        <v>68</v>
      </c>
      <c r="C14" s="9" t="s">
        <v>69</v>
      </c>
      <c r="D14" s="1" t="s">
        <v>57</v>
      </c>
      <c r="E14" s="9" t="s">
        <v>59</v>
      </c>
      <c r="F14" s="9" t="s">
        <v>59</v>
      </c>
      <c r="G14" s="9" t="s">
        <v>76</v>
      </c>
      <c r="H14" s="9" t="s">
        <v>57</v>
      </c>
      <c r="I14" s="9" t="s">
        <v>96</v>
      </c>
      <c r="J14" s="11">
        <v>1</v>
      </c>
      <c r="K14" s="11">
        <v>1</v>
      </c>
      <c r="L14" s="11">
        <v>3</v>
      </c>
      <c r="M14" s="11">
        <v>1</v>
      </c>
      <c r="N14" s="11">
        <v>1.5</v>
      </c>
      <c r="O14" s="11">
        <v>1</v>
      </c>
      <c r="P14" s="11">
        <v>1.5</v>
      </c>
      <c r="Q14" s="11">
        <v>1</v>
      </c>
      <c r="R14" s="11">
        <v>2</v>
      </c>
      <c r="S14" s="11">
        <v>2</v>
      </c>
      <c r="T14" s="13">
        <f t="shared" si="0"/>
        <v>15</v>
      </c>
      <c r="U14" s="13">
        <f t="shared" si="1"/>
        <v>83.333333333333343</v>
      </c>
      <c r="V14" s="12">
        <v>1</v>
      </c>
      <c r="W14" s="12">
        <v>1</v>
      </c>
      <c r="X14" s="12">
        <v>1</v>
      </c>
      <c r="Y14" s="12">
        <v>1</v>
      </c>
      <c r="Z14" s="12">
        <v>1</v>
      </c>
      <c r="AA14" s="12">
        <v>1</v>
      </c>
      <c r="AB14" s="12">
        <v>1</v>
      </c>
      <c r="AC14" s="12">
        <v>1</v>
      </c>
      <c r="AD14" s="15">
        <f t="shared" si="2"/>
        <v>8</v>
      </c>
      <c r="AE14" s="15">
        <f t="shared" si="3"/>
        <v>100</v>
      </c>
      <c r="AF14" s="14">
        <v>5</v>
      </c>
      <c r="AG14" s="14">
        <v>5</v>
      </c>
      <c r="AH14" s="14">
        <v>5</v>
      </c>
      <c r="AI14" s="14">
        <v>5</v>
      </c>
      <c r="AJ14" s="14">
        <v>5</v>
      </c>
      <c r="AK14" s="14">
        <v>5</v>
      </c>
      <c r="AL14" s="14">
        <v>5</v>
      </c>
      <c r="AM14" s="14">
        <v>5</v>
      </c>
      <c r="AN14" s="14">
        <v>5</v>
      </c>
      <c r="AO14" s="17">
        <f t="shared" si="4"/>
        <v>45</v>
      </c>
      <c r="AP14" s="17">
        <f t="shared" si="5"/>
        <v>100</v>
      </c>
      <c r="AQ14" s="16">
        <v>5</v>
      </c>
      <c r="AR14" s="16">
        <v>5</v>
      </c>
      <c r="AS14" s="16">
        <v>5</v>
      </c>
      <c r="AT14" s="16">
        <v>5</v>
      </c>
      <c r="AU14" s="16">
        <v>5</v>
      </c>
      <c r="AV14" s="16">
        <v>5</v>
      </c>
      <c r="AW14" s="16">
        <v>5</v>
      </c>
      <c r="AX14" s="16">
        <v>5</v>
      </c>
      <c r="AY14" s="16">
        <v>5</v>
      </c>
      <c r="AZ14" s="16">
        <v>5</v>
      </c>
      <c r="BA14" s="18">
        <f t="shared" si="6"/>
        <v>50</v>
      </c>
      <c r="BB14" s="18">
        <f t="shared" si="7"/>
        <v>100</v>
      </c>
    </row>
    <row r="15" spans="1:54" ht="22.5" customHeight="1" x14ac:dyDescent="0.2">
      <c r="A15" s="9" t="s">
        <v>93</v>
      </c>
      <c r="B15" s="9" t="s">
        <v>54</v>
      </c>
      <c r="C15" s="9" t="s">
        <v>69</v>
      </c>
      <c r="D15" s="1" t="s">
        <v>57</v>
      </c>
      <c r="E15" s="9" t="s">
        <v>59</v>
      </c>
      <c r="F15" s="9" t="s">
        <v>59</v>
      </c>
      <c r="G15" s="9" t="s">
        <v>61</v>
      </c>
      <c r="H15" s="9" t="s">
        <v>57</v>
      </c>
      <c r="I15" s="9" t="s">
        <v>96</v>
      </c>
      <c r="J15" s="11">
        <v>1</v>
      </c>
      <c r="K15" s="11">
        <v>1</v>
      </c>
      <c r="L15" s="11">
        <v>4</v>
      </c>
      <c r="M15" s="11">
        <v>1</v>
      </c>
      <c r="N15" s="11">
        <v>2</v>
      </c>
      <c r="O15" s="11">
        <v>1</v>
      </c>
      <c r="P15" s="11">
        <v>1.5</v>
      </c>
      <c r="Q15" s="11">
        <v>1</v>
      </c>
      <c r="R15" s="11">
        <v>1.5</v>
      </c>
      <c r="S15" s="11">
        <v>2</v>
      </c>
      <c r="T15" s="13">
        <f t="shared" si="0"/>
        <v>16</v>
      </c>
      <c r="U15" s="13">
        <f t="shared" si="1"/>
        <v>88.888888888888886</v>
      </c>
      <c r="V15" s="12">
        <v>1</v>
      </c>
      <c r="W15" s="12">
        <v>1</v>
      </c>
      <c r="X15" s="12">
        <v>1</v>
      </c>
      <c r="Y15" s="12">
        <v>1</v>
      </c>
      <c r="Z15" s="12">
        <v>1</v>
      </c>
      <c r="AA15" s="12">
        <v>1</v>
      </c>
      <c r="AB15" s="12">
        <v>1</v>
      </c>
      <c r="AC15" s="12">
        <v>1</v>
      </c>
      <c r="AD15" s="15">
        <f t="shared" si="2"/>
        <v>8</v>
      </c>
      <c r="AE15" s="15">
        <f t="shared" si="3"/>
        <v>100</v>
      </c>
      <c r="AF15" s="14">
        <v>5</v>
      </c>
      <c r="AG15" s="14">
        <v>4</v>
      </c>
      <c r="AH15" s="14">
        <v>5</v>
      </c>
      <c r="AI15" s="14">
        <v>5</v>
      </c>
      <c r="AJ15" s="14">
        <v>5</v>
      </c>
      <c r="AK15" s="14">
        <v>4</v>
      </c>
      <c r="AL15" s="14">
        <v>5</v>
      </c>
      <c r="AM15" s="14">
        <v>4</v>
      </c>
      <c r="AN15" s="14">
        <v>4</v>
      </c>
      <c r="AO15" s="17">
        <f t="shared" si="4"/>
        <v>41</v>
      </c>
      <c r="AP15" s="17">
        <f t="shared" si="5"/>
        <v>91.111111111111114</v>
      </c>
      <c r="AQ15" s="16">
        <v>5</v>
      </c>
      <c r="AR15" s="16">
        <v>5</v>
      </c>
      <c r="AS15" s="16">
        <v>4</v>
      </c>
      <c r="AT15" s="16">
        <v>5</v>
      </c>
      <c r="AU15" s="16">
        <v>1</v>
      </c>
      <c r="AV15" s="16">
        <v>5</v>
      </c>
      <c r="AW15" s="16">
        <v>5</v>
      </c>
      <c r="AX15" s="16">
        <v>5</v>
      </c>
      <c r="AY15" s="16">
        <v>1</v>
      </c>
      <c r="AZ15" s="16">
        <v>5</v>
      </c>
      <c r="BA15" s="18">
        <f t="shared" si="6"/>
        <v>41</v>
      </c>
      <c r="BB15" s="18">
        <f t="shared" si="7"/>
        <v>82</v>
      </c>
    </row>
    <row r="16" spans="1:54" ht="22.5" customHeight="1" x14ac:dyDescent="0.2">
      <c r="A16" s="9" t="s">
        <v>67</v>
      </c>
      <c r="B16" s="9" t="s">
        <v>54</v>
      </c>
      <c r="C16" s="9" t="s">
        <v>55</v>
      </c>
      <c r="D16" s="1" t="s">
        <v>57</v>
      </c>
      <c r="E16" s="9" t="s">
        <v>71</v>
      </c>
      <c r="F16" s="9" t="s">
        <v>60</v>
      </c>
      <c r="G16" s="9" t="s">
        <v>76</v>
      </c>
      <c r="H16" s="9" t="s">
        <v>97</v>
      </c>
      <c r="I16" s="9" t="s">
        <v>62</v>
      </c>
      <c r="J16" s="11">
        <v>1</v>
      </c>
      <c r="K16" s="11">
        <v>1</v>
      </c>
      <c r="L16" s="11">
        <v>2</v>
      </c>
      <c r="M16" s="11">
        <v>2</v>
      </c>
      <c r="N16" s="11">
        <v>1</v>
      </c>
      <c r="O16" s="11">
        <v>1</v>
      </c>
      <c r="P16" s="11">
        <v>1</v>
      </c>
      <c r="Q16" s="11">
        <v>1</v>
      </c>
      <c r="R16" s="11">
        <v>2</v>
      </c>
      <c r="S16" s="11">
        <v>2</v>
      </c>
      <c r="T16" s="13">
        <f t="shared" si="0"/>
        <v>14</v>
      </c>
      <c r="U16" s="13">
        <f t="shared" si="1"/>
        <v>77.777777777777786</v>
      </c>
      <c r="V16" s="12">
        <v>1</v>
      </c>
      <c r="W16" s="12">
        <v>1</v>
      </c>
      <c r="X16" s="12">
        <v>1</v>
      </c>
      <c r="Y16" s="12">
        <v>1</v>
      </c>
      <c r="Z16" s="12">
        <v>1</v>
      </c>
      <c r="AA16" s="12">
        <v>1</v>
      </c>
      <c r="AB16" s="12">
        <v>1</v>
      </c>
      <c r="AC16" s="12">
        <v>1</v>
      </c>
      <c r="AD16" s="15">
        <f t="shared" si="2"/>
        <v>8</v>
      </c>
      <c r="AE16" s="15">
        <f t="shared" si="3"/>
        <v>100</v>
      </c>
      <c r="AF16" s="14">
        <v>4</v>
      </c>
      <c r="AG16" s="14">
        <v>3</v>
      </c>
      <c r="AH16" s="14">
        <v>4</v>
      </c>
      <c r="AI16" s="14">
        <v>4</v>
      </c>
      <c r="AJ16" s="14">
        <v>5</v>
      </c>
      <c r="AK16" s="14">
        <v>5</v>
      </c>
      <c r="AL16" s="14">
        <v>5</v>
      </c>
      <c r="AM16" s="14">
        <v>4</v>
      </c>
      <c r="AN16" s="14">
        <v>4</v>
      </c>
      <c r="AO16" s="17">
        <f t="shared" si="4"/>
        <v>38</v>
      </c>
      <c r="AP16" s="17">
        <f t="shared" si="5"/>
        <v>84.444444444444443</v>
      </c>
      <c r="AQ16" s="16">
        <v>4</v>
      </c>
      <c r="AR16" s="16">
        <v>4</v>
      </c>
      <c r="AS16" s="16">
        <v>4</v>
      </c>
      <c r="AT16" s="16">
        <v>5</v>
      </c>
      <c r="AU16" s="16">
        <v>5</v>
      </c>
      <c r="AV16" s="16">
        <v>3</v>
      </c>
      <c r="AW16" s="16">
        <v>3</v>
      </c>
      <c r="AX16" s="16">
        <v>4</v>
      </c>
      <c r="AY16" s="16">
        <v>5</v>
      </c>
      <c r="AZ16" s="16">
        <v>5</v>
      </c>
      <c r="BA16" s="18">
        <f t="shared" si="6"/>
        <v>42</v>
      </c>
      <c r="BB16" s="18">
        <f t="shared" si="7"/>
        <v>84</v>
      </c>
    </row>
    <row r="17" spans="1:54" ht="22.5" customHeight="1" x14ac:dyDescent="0.2">
      <c r="A17" s="9" t="s">
        <v>74</v>
      </c>
      <c r="B17" s="9" t="s">
        <v>68</v>
      </c>
      <c r="C17" s="9" t="s">
        <v>69</v>
      </c>
      <c r="D17" s="1" t="s">
        <v>75</v>
      </c>
      <c r="E17" s="9" t="s">
        <v>59</v>
      </c>
      <c r="F17" s="9" t="s">
        <v>59</v>
      </c>
      <c r="G17" s="9" t="s">
        <v>76</v>
      </c>
      <c r="H17" s="9" t="s">
        <v>98</v>
      </c>
      <c r="I17" s="9" t="s">
        <v>72</v>
      </c>
      <c r="J17" s="11">
        <v>1</v>
      </c>
      <c r="K17" s="11">
        <v>1</v>
      </c>
      <c r="L17" s="11">
        <v>1</v>
      </c>
      <c r="M17" s="11">
        <v>0</v>
      </c>
      <c r="N17" s="11">
        <v>1</v>
      </c>
      <c r="O17" s="11">
        <v>0</v>
      </c>
      <c r="P17" s="11">
        <v>1</v>
      </c>
      <c r="Q17" s="11">
        <v>1</v>
      </c>
      <c r="R17" s="11">
        <v>1.5</v>
      </c>
      <c r="S17" s="11">
        <v>0.5</v>
      </c>
      <c r="T17" s="13">
        <f t="shared" si="0"/>
        <v>8</v>
      </c>
      <c r="U17" s="13">
        <f t="shared" si="1"/>
        <v>44.444444444444443</v>
      </c>
      <c r="V17" s="12">
        <v>1</v>
      </c>
      <c r="W17" s="12">
        <v>1</v>
      </c>
      <c r="X17" s="12">
        <v>0</v>
      </c>
      <c r="Y17" s="12">
        <v>1</v>
      </c>
      <c r="Z17" s="12">
        <v>1</v>
      </c>
      <c r="AA17" s="12">
        <v>0</v>
      </c>
      <c r="AB17" s="12">
        <v>0</v>
      </c>
      <c r="AC17" s="12">
        <v>0</v>
      </c>
      <c r="AD17" s="15">
        <f t="shared" si="2"/>
        <v>4</v>
      </c>
      <c r="AE17" s="15">
        <f t="shared" si="3"/>
        <v>50</v>
      </c>
      <c r="AF17" s="14">
        <v>4</v>
      </c>
      <c r="AG17" s="14">
        <v>3</v>
      </c>
      <c r="AH17" s="14">
        <v>4</v>
      </c>
      <c r="AI17" s="14">
        <v>3</v>
      </c>
      <c r="AJ17" s="14">
        <v>3</v>
      </c>
      <c r="AK17" s="14">
        <v>4</v>
      </c>
      <c r="AL17" s="14">
        <v>3</v>
      </c>
      <c r="AM17" s="14">
        <v>4</v>
      </c>
      <c r="AN17" s="14">
        <v>4</v>
      </c>
      <c r="AO17" s="17">
        <f t="shared" si="4"/>
        <v>32</v>
      </c>
      <c r="AP17" s="17">
        <f t="shared" si="5"/>
        <v>71.111111111111114</v>
      </c>
      <c r="AQ17" s="16">
        <v>4</v>
      </c>
      <c r="AR17" s="16">
        <v>4</v>
      </c>
      <c r="AS17" s="16">
        <v>4</v>
      </c>
      <c r="AT17" s="16">
        <v>3</v>
      </c>
      <c r="AU17" s="16">
        <v>1</v>
      </c>
      <c r="AV17" s="16">
        <v>2</v>
      </c>
      <c r="AW17" s="16">
        <v>3</v>
      </c>
      <c r="AX17" s="16">
        <v>2</v>
      </c>
      <c r="AY17" s="16">
        <v>5</v>
      </c>
      <c r="AZ17" s="16">
        <v>2</v>
      </c>
      <c r="BA17" s="18">
        <f t="shared" si="6"/>
        <v>30</v>
      </c>
      <c r="BB17" s="18">
        <f t="shared" si="7"/>
        <v>60</v>
      </c>
    </row>
    <row r="18" spans="1:54" ht="22.5" customHeight="1" x14ac:dyDescent="0.2">
      <c r="A18" s="9" t="s">
        <v>52</v>
      </c>
      <c r="B18" s="9" t="s">
        <v>68</v>
      </c>
      <c r="C18" s="9" t="s">
        <v>55</v>
      </c>
      <c r="D18" s="1" t="s">
        <v>70</v>
      </c>
      <c r="E18" s="9" t="s">
        <v>60</v>
      </c>
      <c r="F18" s="9" t="s">
        <v>60</v>
      </c>
      <c r="G18" s="9" t="s">
        <v>61</v>
      </c>
      <c r="H18" s="9" t="s">
        <v>57</v>
      </c>
      <c r="I18" s="9" t="s">
        <v>81</v>
      </c>
      <c r="J18" s="11">
        <v>1</v>
      </c>
      <c r="K18" s="11">
        <v>0</v>
      </c>
      <c r="L18" s="11">
        <v>2</v>
      </c>
      <c r="M18" s="11">
        <v>1</v>
      </c>
      <c r="N18" s="11">
        <v>1</v>
      </c>
      <c r="O18" s="11">
        <v>1</v>
      </c>
      <c r="P18" s="11">
        <v>1.5</v>
      </c>
      <c r="Q18" s="11">
        <v>0</v>
      </c>
      <c r="R18" s="11">
        <v>1.5</v>
      </c>
      <c r="S18" s="11">
        <v>1</v>
      </c>
      <c r="T18" s="13">
        <f t="shared" si="0"/>
        <v>10</v>
      </c>
      <c r="U18" s="13">
        <f t="shared" si="1"/>
        <v>55.555555555555557</v>
      </c>
      <c r="V18" s="12">
        <v>1</v>
      </c>
      <c r="W18" s="12">
        <v>1</v>
      </c>
      <c r="X18" s="12">
        <v>0</v>
      </c>
      <c r="Y18" s="12">
        <v>0</v>
      </c>
      <c r="Z18" s="12">
        <v>1</v>
      </c>
      <c r="AA18" s="12">
        <v>1</v>
      </c>
      <c r="AB18" s="12">
        <v>1</v>
      </c>
      <c r="AC18" s="12">
        <v>0</v>
      </c>
      <c r="AD18" s="15">
        <f t="shared" si="2"/>
        <v>5</v>
      </c>
      <c r="AE18" s="15">
        <f t="shared" si="3"/>
        <v>62.5</v>
      </c>
      <c r="AF18" s="14">
        <v>4</v>
      </c>
      <c r="AG18" s="14">
        <v>4</v>
      </c>
      <c r="AH18" s="14">
        <v>3</v>
      </c>
      <c r="AI18" s="14">
        <v>4</v>
      </c>
      <c r="AJ18" s="14">
        <v>4</v>
      </c>
      <c r="AK18" s="14">
        <v>4</v>
      </c>
      <c r="AL18" s="14">
        <v>4</v>
      </c>
      <c r="AM18" s="14">
        <v>4</v>
      </c>
      <c r="AN18" s="14">
        <v>4</v>
      </c>
      <c r="AO18" s="17">
        <f t="shared" si="4"/>
        <v>35</v>
      </c>
      <c r="AP18" s="17">
        <f t="shared" si="5"/>
        <v>77.777777777777786</v>
      </c>
      <c r="AQ18" s="16">
        <v>5</v>
      </c>
      <c r="AR18" s="16">
        <v>3</v>
      </c>
      <c r="AS18" s="16">
        <v>1</v>
      </c>
      <c r="AT18" s="16">
        <v>4</v>
      </c>
      <c r="AU18" s="16">
        <v>1</v>
      </c>
      <c r="AV18" s="16">
        <v>5</v>
      </c>
      <c r="AW18" s="16">
        <v>3</v>
      </c>
      <c r="AX18" s="16">
        <v>2</v>
      </c>
      <c r="AY18" s="16">
        <v>1</v>
      </c>
      <c r="AZ18" s="16">
        <v>3</v>
      </c>
      <c r="BA18" s="18">
        <f t="shared" si="6"/>
        <v>28</v>
      </c>
      <c r="BB18" s="18">
        <f t="shared" si="7"/>
        <v>56.000000000000007</v>
      </c>
    </row>
    <row r="19" spans="1:54" ht="22.5" customHeight="1" x14ac:dyDescent="0.2">
      <c r="A19" s="9" t="s">
        <v>74</v>
      </c>
      <c r="B19" s="9" t="s">
        <v>54</v>
      </c>
      <c r="C19" s="9" t="s">
        <v>69</v>
      </c>
      <c r="D19" s="1" t="s">
        <v>57</v>
      </c>
      <c r="E19" s="9" t="s">
        <v>71</v>
      </c>
      <c r="F19" s="9" t="s">
        <v>71</v>
      </c>
      <c r="G19" s="9" t="s">
        <v>76</v>
      </c>
      <c r="H19" s="9" t="s">
        <v>97</v>
      </c>
      <c r="I19" s="9" t="s">
        <v>72</v>
      </c>
      <c r="J19" s="11">
        <v>1</v>
      </c>
      <c r="K19" s="11">
        <v>1</v>
      </c>
      <c r="L19" s="11">
        <v>2</v>
      </c>
      <c r="M19" s="11">
        <v>1</v>
      </c>
      <c r="N19" s="11">
        <v>1</v>
      </c>
      <c r="O19" s="11">
        <v>1</v>
      </c>
      <c r="P19" s="11">
        <v>1</v>
      </c>
      <c r="Q19" s="11">
        <v>1</v>
      </c>
      <c r="R19" s="11">
        <v>1.5</v>
      </c>
      <c r="S19" s="11">
        <v>1</v>
      </c>
      <c r="T19" s="13">
        <f t="shared" si="0"/>
        <v>11.5</v>
      </c>
      <c r="U19" s="13">
        <f t="shared" si="1"/>
        <v>63.888888888888886</v>
      </c>
      <c r="V19" s="12">
        <v>1</v>
      </c>
      <c r="W19" s="12">
        <v>1</v>
      </c>
      <c r="X19" s="12">
        <v>1</v>
      </c>
      <c r="Y19" s="12">
        <v>1</v>
      </c>
      <c r="Z19" s="12">
        <v>1</v>
      </c>
      <c r="AA19" s="12">
        <v>1</v>
      </c>
      <c r="AB19" s="12">
        <v>1</v>
      </c>
      <c r="AC19" s="12">
        <v>1</v>
      </c>
      <c r="AD19" s="15">
        <f t="shared" si="2"/>
        <v>8</v>
      </c>
      <c r="AE19" s="15">
        <f t="shared" si="3"/>
        <v>100</v>
      </c>
      <c r="AF19" s="14">
        <v>4</v>
      </c>
      <c r="AG19" s="14">
        <v>4</v>
      </c>
      <c r="AH19" s="14">
        <v>4</v>
      </c>
      <c r="AI19" s="14">
        <v>4</v>
      </c>
      <c r="AJ19" s="14">
        <v>5</v>
      </c>
      <c r="AK19" s="14">
        <v>5</v>
      </c>
      <c r="AL19" s="14">
        <v>5</v>
      </c>
      <c r="AM19" s="14">
        <v>5</v>
      </c>
      <c r="AN19" s="14">
        <v>5</v>
      </c>
      <c r="AO19" s="17">
        <f t="shared" si="4"/>
        <v>41</v>
      </c>
      <c r="AP19" s="17">
        <f t="shared" si="5"/>
        <v>91.111111111111114</v>
      </c>
      <c r="AQ19" s="16">
        <v>5</v>
      </c>
      <c r="AR19" s="16">
        <v>2</v>
      </c>
      <c r="AS19" s="16">
        <v>2</v>
      </c>
      <c r="AT19" s="16">
        <v>3</v>
      </c>
      <c r="AU19" s="16">
        <v>1</v>
      </c>
      <c r="AV19" s="16">
        <v>5</v>
      </c>
      <c r="AW19" s="16">
        <v>4</v>
      </c>
      <c r="AX19" s="16">
        <v>3</v>
      </c>
      <c r="AY19" s="16">
        <v>5</v>
      </c>
      <c r="AZ19" s="16">
        <v>5</v>
      </c>
      <c r="BA19" s="18">
        <f t="shared" si="6"/>
        <v>35</v>
      </c>
      <c r="BB19" s="18">
        <f t="shared" si="7"/>
        <v>70</v>
      </c>
    </row>
    <row r="20" spans="1:54" ht="22.5" customHeight="1" x14ac:dyDescent="0.2">
      <c r="A20" s="9" t="s">
        <v>93</v>
      </c>
      <c r="B20" s="9" t="s">
        <v>68</v>
      </c>
      <c r="C20" s="9" t="s">
        <v>55</v>
      </c>
      <c r="D20" s="1" t="s">
        <v>75</v>
      </c>
      <c r="E20" s="9" t="s">
        <v>92</v>
      </c>
      <c r="F20" s="9" t="s">
        <v>92</v>
      </c>
      <c r="G20" s="9" t="s">
        <v>61</v>
      </c>
      <c r="H20" s="9" t="s">
        <v>57</v>
      </c>
      <c r="I20" s="9" t="s">
        <v>81</v>
      </c>
      <c r="J20" s="11">
        <v>0</v>
      </c>
      <c r="K20" s="11">
        <v>0</v>
      </c>
      <c r="L20" s="11">
        <v>0</v>
      </c>
      <c r="M20" s="11">
        <v>0</v>
      </c>
      <c r="N20" s="11">
        <v>0.5</v>
      </c>
      <c r="O20" s="11">
        <v>0</v>
      </c>
      <c r="P20" s="11">
        <v>0</v>
      </c>
      <c r="Q20" s="11">
        <v>0</v>
      </c>
      <c r="R20" s="11">
        <v>1</v>
      </c>
      <c r="S20" s="11">
        <v>0.5</v>
      </c>
      <c r="T20" s="13">
        <f t="shared" si="0"/>
        <v>2</v>
      </c>
      <c r="U20" s="13">
        <f t="shared" si="1"/>
        <v>11.111111111111111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5">
        <f t="shared" si="2"/>
        <v>0</v>
      </c>
      <c r="AE20" s="15">
        <f t="shared" si="3"/>
        <v>0</v>
      </c>
      <c r="AF20" s="14">
        <v>4</v>
      </c>
      <c r="AG20" s="14">
        <v>4</v>
      </c>
      <c r="AH20" s="14">
        <v>3</v>
      </c>
      <c r="AI20" s="14">
        <v>4</v>
      </c>
      <c r="AJ20" s="14">
        <v>3</v>
      </c>
      <c r="AK20" s="14">
        <v>3</v>
      </c>
      <c r="AL20" s="14">
        <v>3</v>
      </c>
      <c r="AM20" s="14">
        <v>4</v>
      </c>
      <c r="AN20" s="14">
        <v>4</v>
      </c>
      <c r="AO20" s="17">
        <f t="shared" si="4"/>
        <v>32</v>
      </c>
      <c r="AP20" s="17">
        <f t="shared" si="5"/>
        <v>71.111111111111114</v>
      </c>
      <c r="AQ20" s="16">
        <v>2</v>
      </c>
      <c r="AR20" s="16">
        <v>2</v>
      </c>
      <c r="AS20" s="16">
        <v>2</v>
      </c>
      <c r="AT20" s="16">
        <v>2</v>
      </c>
      <c r="AU20" s="16">
        <v>1</v>
      </c>
      <c r="AV20" s="16">
        <v>2</v>
      </c>
      <c r="AW20" s="16">
        <v>2</v>
      </c>
      <c r="AX20" s="16">
        <v>2</v>
      </c>
      <c r="AY20" s="16">
        <v>1</v>
      </c>
      <c r="AZ20" s="16">
        <v>1</v>
      </c>
      <c r="BA20" s="18">
        <f t="shared" si="6"/>
        <v>17</v>
      </c>
      <c r="BB20" s="18">
        <f t="shared" si="7"/>
        <v>34</v>
      </c>
    </row>
    <row r="21" spans="1:54" ht="22.5" customHeight="1" x14ac:dyDescent="0.2">
      <c r="A21" s="9" t="s">
        <v>67</v>
      </c>
      <c r="B21" s="9" t="s">
        <v>68</v>
      </c>
      <c r="C21" s="9" t="s">
        <v>55</v>
      </c>
      <c r="D21" s="1" t="s">
        <v>70</v>
      </c>
      <c r="E21" s="9" t="s">
        <v>71</v>
      </c>
      <c r="F21" s="9" t="s">
        <v>85</v>
      </c>
      <c r="G21" s="9" t="s">
        <v>95</v>
      </c>
      <c r="H21" s="9" t="s">
        <v>86</v>
      </c>
      <c r="I21" s="9" t="s">
        <v>62</v>
      </c>
      <c r="J21" s="11">
        <v>0</v>
      </c>
      <c r="K21" s="11">
        <v>0</v>
      </c>
      <c r="L21" s="11">
        <v>0</v>
      </c>
      <c r="M21" s="11">
        <v>0</v>
      </c>
      <c r="N21" s="11">
        <v>0.5</v>
      </c>
      <c r="O21" s="11">
        <v>0</v>
      </c>
      <c r="P21" s="11">
        <v>0</v>
      </c>
      <c r="Q21" s="11">
        <v>0</v>
      </c>
      <c r="R21" s="11">
        <v>1</v>
      </c>
      <c r="S21" s="11">
        <v>1</v>
      </c>
      <c r="T21" s="13">
        <f t="shared" si="0"/>
        <v>2.5</v>
      </c>
      <c r="U21" s="13">
        <f t="shared" si="1"/>
        <v>13.888888888888889</v>
      </c>
      <c r="V21" s="12">
        <v>1</v>
      </c>
      <c r="W21" s="12">
        <v>1</v>
      </c>
      <c r="X21" s="12">
        <v>1</v>
      </c>
      <c r="Y21" s="12">
        <v>1</v>
      </c>
      <c r="Z21" s="12">
        <v>1</v>
      </c>
      <c r="AA21" s="12">
        <v>1</v>
      </c>
      <c r="AB21" s="12">
        <v>1</v>
      </c>
      <c r="AC21" s="12">
        <v>1</v>
      </c>
      <c r="AD21" s="15">
        <f t="shared" si="2"/>
        <v>8</v>
      </c>
      <c r="AE21" s="15">
        <f t="shared" si="3"/>
        <v>100</v>
      </c>
      <c r="AF21" s="14">
        <v>5</v>
      </c>
      <c r="AG21" s="14">
        <v>5</v>
      </c>
      <c r="AH21" s="14">
        <v>5</v>
      </c>
      <c r="AI21" s="14">
        <v>5</v>
      </c>
      <c r="AJ21" s="14">
        <v>5</v>
      </c>
      <c r="AK21" s="14">
        <v>4</v>
      </c>
      <c r="AL21" s="14">
        <v>3</v>
      </c>
      <c r="AM21" s="14">
        <v>4</v>
      </c>
      <c r="AN21" s="14">
        <v>4</v>
      </c>
      <c r="AO21" s="17">
        <f t="shared" si="4"/>
        <v>40</v>
      </c>
      <c r="AP21" s="17">
        <f t="shared" si="5"/>
        <v>88.888888888888886</v>
      </c>
      <c r="AQ21" s="16">
        <v>4</v>
      </c>
      <c r="AR21" s="16">
        <v>4</v>
      </c>
      <c r="AS21" s="16">
        <v>4</v>
      </c>
      <c r="AT21" s="16">
        <v>4</v>
      </c>
      <c r="AU21" s="16">
        <v>5</v>
      </c>
      <c r="AV21" s="16">
        <v>4</v>
      </c>
      <c r="AW21" s="16">
        <v>5</v>
      </c>
      <c r="AX21" s="16">
        <v>5</v>
      </c>
      <c r="AY21" s="16">
        <v>5</v>
      </c>
      <c r="AZ21" s="16">
        <v>5</v>
      </c>
      <c r="BA21" s="18">
        <f t="shared" si="6"/>
        <v>45</v>
      </c>
      <c r="BB21" s="18">
        <f t="shared" si="7"/>
        <v>90</v>
      </c>
    </row>
    <row r="22" spans="1:54" ht="22.5" customHeight="1" x14ac:dyDescent="0.2">
      <c r="A22" s="9" t="s">
        <v>67</v>
      </c>
      <c r="B22" s="9" t="s">
        <v>54</v>
      </c>
      <c r="C22" s="9" t="s">
        <v>69</v>
      </c>
      <c r="D22" s="1" t="s">
        <v>57</v>
      </c>
      <c r="E22" s="9" t="s">
        <v>59</v>
      </c>
      <c r="F22" s="9" t="s">
        <v>59</v>
      </c>
      <c r="G22" s="9" t="s">
        <v>76</v>
      </c>
      <c r="H22" s="9" t="s">
        <v>57</v>
      </c>
      <c r="I22" s="9" t="s">
        <v>96</v>
      </c>
      <c r="J22" s="11">
        <v>1</v>
      </c>
      <c r="K22" s="11">
        <v>1</v>
      </c>
      <c r="L22" s="11">
        <v>4</v>
      </c>
      <c r="M22" s="11">
        <v>2</v>
      </c>
      <c r="N22" s="11">
        <v>1.5</v>
      </c>
      <c r="O22" s="11">
        <v>1</v>
      </c>
      <c r="P22" s="11">
        <v>2</v>
      </c>
      <c r="Q22" s="11">
        <v>1</v>
      </c>
      <c r="R22" s="11">
        <v>2</v>
      </c>
      <c r="S22" s="11">
        <v>2</v>
      </c>
      <c r="T22" s="13">
        <f t="shared" si="0"/>
        <v>17.5</v>
      </c>
      <c r="U22" s="13">
        <f t="shared" si="1"/>
        <v>97.222222222222214</v>
      </c>
      <c r="V22" s="12">
        <v>1</v>
      </c>
      <c r="W22" s="12">
        <v>1</v>
      </c>
      <c r="X22" s="12">
        <v>1</v>
      </c>
      <c r="Y22" s="12">
        <v>1</v>
      </c>
      <c r="Z22" s="12">
        <v>1</v>
      </c>
      <c r="AA22" s="12">
        <v>1</v>
      </c>
      <c r="AB22" s="12">
        <v>1</v>
      </c>
      <c r="AC22" s="12">
        <v>1</v>
      </c>
      <c r="AD22" s="15">
        <f t="shared" si="2"/>
        <v>8</v>
      </c>
      <c r="AE22" s="15">
        <f t="shared" si="3"/>
        <v>100</v>
      </c>
      <c r="AF22" s="14">
        <v>5</v>
      </c>
      <c r="AG22" s="14">
        <v>5</v>
      </c>
      <c r="AH22" s="14">
        <v>5</v>
      </c>
      <c r="AI22" s="14">
        <v>5</v>
      </c>
      <c r="AJ22" s="14">
        <v>5</v>
      </c>
      <c r="AK22" s="14">
        <v>5</v>
      </c>
      <c r="AL22" s="14">
        <v>5</v>
      </c>
      <c r="AM22" s="14">
        <v>5</v>
      </c>
      <c r="AN22" s="14">
        <v>4</v>
      </c>
      <c r="AO22" s="17">
        <f t="shared" si="4"/>
        <v>44</v>
      </c>
      <c r="AP22" s="17">
        <f t="shared" si="5"/>
        <v>97.777777777777771</v>
      </c>
      <c r="AQ22" s="16">
        <v>5</v>
      </c>
      <c r="AR22" s="16">
        <v>5</v>
      </c>
      <c r="AS22" s="16">
        <v>5</v>
      </c>
      <c r="AT22" s="16">
        <v>5</v>
      </c>
      <c r="AU22" s="16">
        <v>5</v>
      </c>
      <c r="AV22" s="16">
        <v>5</v>
      </c>
      <c r="AW22" s="16">
        <v>5</v>
      </c>
      <c r="AX22" s="16">
        <v>5</v>
      </c>
      <c r="AY22" s="16">
        <v>5</v>
      </c>
      <c r="AZ22" s="16">
        <v>5</v>
      </c>
      <c r="BA22" s="18">
        <f t="shared" si="6"/>
        <v>50</v>
      </c>
      <c r="BB22" s="18">
        <f t="shared" si="7"/>
        <v>100</v>
      </c>
    </row>
    <row r="23" spans="1:54" ht="22.5" customHeight="1" x14ac:dyDescent="0.2">
      <c r="A23" s="9" t="s">
        <v>52</v>
      </c>
      <c r="B23" s="9" t="s">
        <v>68</v>
      </c>
      <c r="C23" s="9" t="s">
        <v>69</v>
      </c>
      <c r="D23" s="1" t="s">
        <v>70</v>
      </c>
      <c r="E23" s="9" t="s">
        <v>71</v>
      </c>
      <c r="F23" s="9" t="s">
        <v>71</v>
      </c>
      <c r="G23" s="9" t="s">
        <v>61</v>
      </c>
      <c r="H23" s="9" t="s">
        <v>57</v>
      </c>
      <c r="I23" s="9" t="s">
        <v>62</v>
      </c>
      <c r="J23" s="11">
        <v>1</v>
      </c>
      <c r="K23" s="11">
        <v>1</v>
      </c>
      <c r="L23" s="11">
        <v>2</v>
      </c>
      <c r="M23" s="11">
        <v>1</v>
      </c>
      <c r="N23" s="11">
        <v>1</v>
      </c>
      <c r="O23" s="11">
        <v>1</v>
      </c>
      <c r="P23" s="11">
        <v>2</v>
      </c>
      <c r="Q23" s="11">
        <v>0</v>
      </c>
      <c r="R23" s="11">
        <v>2</v>
      </c>
      <c r="S23" s="11">
        <v>2</v>
      </c>
      <c r="T23" s="13">
        <f t="shared" si="0"/>
        <v>13</v>
      </c>
      <c r="U23" s="13">
        <f t="shared" si="1"/>
        <v>72.222222222222214</v>
      </c>
      <c r="V23" s="12">
        <v>1</v>
      </c>
      <c r="W23" s="12">
        <v>1</v>
      </c>
      <c r="X23" s="12">
        <v>1</v>
      </c>
      <c r="Y23" s="12">
        <v>1</v>
      </c>
      <c r="Z23" s="12">
        <v>0</v>
      </c>
      <c r="AA23" s="12">
        <v>1</v>
      </c>
      <c r="AB23" s="12">
        <v>1</v>
      </c>
      <c r="AC23" s="12">
        <v>1</v>
      </c>
      <c r="AD23" s="15">
        <f t="shared" si="2"/>
        <v>7</v>
      </c>
      <c r="AE23" s="15">
        <f t="shared" si="3"/>
        <v>87.5</v>
      </c>
      <c r="AF23" s="14">
        <v>5</v>
      </c>
      <c r="AG23" s="14">
        <v>5</v>
      </c>
      <c r="AH23" s="14">
        <v>5</v>
      </c>
      <c r="AI23" s="14">
        <v>5</v>
      </c>
      <c r="AJ23" s="14">
        <v>5</v>
      </c>
      <c r="AK23" s="14">
        <v>5</v>
      </c>
      <c r="AL23" s="14">
        <v>5</v>
      </c>
      <c r="AM23" s="14">
        <v>5</v>
      </c>
      <c r="AN23" s="14">
        <v>5</v>
      </c>
      <c r="AO23" s="17">
        <f t="shared" si="4"/>
        <v>45</v>
      </c>
      <c r="AP23" s="17">
        <f t="shared" si="5"/>
        <v>100</v>
      </c>
      <c r="AQ23" s="16">
        <v>5</v>
      </c>
      <c r="AR23" s="16">
        <v>5</v>
      </c>
      <c r="AS23" s="16">
        <v>5</v>
      </c>
      <c r="AT23" s="16">
        <v>5</v>
      </c>
      <c r="AU23" s="16">
        <v>5</v>
      </c>
      <c r="AV23" s="16">
        <v>5</v>
      </c>
      <c r="AW23" s="16">
        <v>4</v>
      </c>
      <c r="AX23" s="16">
        <v>3</v>
      </c>
      <c r="AY23" s="16">
        <v>5</v>
      </c>
      <c r="AZ23" s="16">
        <v>4</v>
      </c>
      <c r="BA23" s="18">
        <f t="shared" si="6"/>
        <v>46</v>
      </c>
      <c r="BB23" s="18">
        <f t="shared" si="7"/>
        <v>92</v>
      </c>
    </row>
    <row r="24" spans="1:54" ht="22.5" customHeight="1" x14ac:dyDescent="0.2">
      <c r="A24" s="9" t="s">
        <v>93</v>
      </c>
      <c r="B24" s="9" t="s">
        <v>54</v>
      </c>
      <c r="C24" s="9" t="s">
        <v>55</v>
      </c>
      <c r="D24" s="1" t="s">
        <v>75</v>
      </c>
      <c r="E24" s="9" t="s">
        <v>85</v>
      </c>
      <c r="F24" s="9" t="s">
        <v>60</v>
      </c>
      <c r="G24" s="9" t="s">
        <v>76</v>
      </c>
      <c r="H24" s="9" t="s">
        <v>99</v>
      </c>
      <c r="I24" s="9" t="s">
        <v>62</v>
      </c>
      <c r="J24" s="11">
        <v>1</v>
      </c>
      <c r="K24" s="11">
        <v>1</v>
      </c>
      <c r="L24" s="11">
        <v>1</v>
      </c>
      <c r="M24" s="11">
        <v>1</v>
      </c>
      <c r="N24" s="11">
        <v>1</v>
      </c>
      <c r="O24" s="11">
        <v>1</v>
      </c>
      <c r="P24" s="11">
        <v>2</v>
      </c>
      <c r="Q24" s="11">
        <v>1</v>
      </c>
      <c r="R24" s="11">
        <v>2</v>
      </c>
      <c r="S24" s="11">
        <v>2</v>
      </c>
      <c r="T24" s="13">
        <f t="shared" si="0"/>
        <v>13</v>
      </c>
      <c r="U24" s="13">
        <f t="shared" si="1"/>
        <v>72.222222222222214</v>
      </c>
      <c r="V24" s="12">
        <v>1</v>
      </c>
      <c r="W24" s="12">
        <v>1</v>
      </c>
      <c r="X24" s="12">
        <v>1</v>
      </c>
      <c r="Y24" s="12">
        <v>1</v>
      </c>
      <c r="Z24" s="12">
        <v>1</v>
      </c>
      <c r="AA24" s="12">
        <v>1</v>
      </c>
      <c r="AB24" s="12">
        <v>1</v>
      </c>
      <c r="AC24" s="12">
        <v>1</v>
      </c>
      <c r="AD24" s="15">
        <f t="shared" si="2"/>
        <v>8</v>
      </c>
      <c r="AE24" s="15">
        <f t="shared" si="3"/>
        <v>100</v>
      </c>
      <c r="AF24" s="14">
        <v>5</v>
      </c>
      <c r="AG24" s="14">
        <v>5</v>
      </c>
      <c r="AH24" s="14">
        <v>5</v>
      </c>
      <c r="AI24" s="14">
        <v>5</v>
      </c>
      <c r="AJ24" s="14">
        <v>5</v>
      </c>
      <c r="AK24" s="14">
        <v>5</v>
      </c>
      <c r="AL24" s="14">
        <v>5</v>
      </c>
      <c r="AM24" s="14">
        <v>5</v>
      </c>
      <c r="AN24" s="14">
        <v>5</v>
      </c>
      <c r="AO24" s="17">
        <f t="shared" si="4"/>
        <v>45</v>
      </c>
      <c r="AP24" s="17">
        <f t="shared" si="5"/>
        <v>100</v>
      </c>
      <c r="AQ24" s="16">
        <v>5</v>
      </c>
      <c r="AR24" s="16">
        <v>5</v>
      </c>
      <c r="AS24" s="16">
        <v>5</v>
      </c>
      <c r="AT24" s="16">
        <v>5</v>
      </c>
      <c r="AU24" s="16">
        <v>5</v>
      </c>
      <c r="AV24" s="16">
        <v>5</v>
      </c>
      <c r="AW24" s="16">
        <v>5</v>
      </c>
      <c r="AX24" s="16">
        <v>5</v>
      </c>
      <c r="AY24" s="16">
        <v>5</v>
      </c>
      <c r="AZ24" s="16">
        <v>5</v>
      </c>
      <c r="BA24" s="18">
        <f t="shared" si="6"/>
        <v>50</v>
      </c>
      <c r="BB24" s="18">
        <f t="shared" si="7"/>
        <v>100</v>
      </c>
    </row>
    <row r="25" spans="1:54" ht="22.5" customHeight="1" x14ac:dyDescent="0.2">
      <c r="A25" s="9" t="s">
        <v>52</v>
      </c>
      <c r="B25" s="9" t="s">
        <v>68</v>
      </c>
      <c r="C25" s="9" t="s">
        <v>55</v>
      </c>
      <c r="D25" s="1" t="s">
        <v>100</v>
      </c>
      <c r="E25" s="9" t="s">
        <v>85</v>
      </c>
      <c r="F25" s="9" t="s">
        <v>85</v>
      </c>
      <c r="G25" s="9" t="s">
        <v>61</v>
      </c>
      <c r="H25" s="9" t="s">
        <v>57</v>
      </c>
      <c r="I25" s="9" t="s">
        <v>81</v>
      </c>
      <c r="J25" s="11">
        <v>0</v>
      </c>
      <c r="K25" s="11">
        <v>0</v>
      </c>
      <c r="L25" s="11">
        <v>0</v>
      </c>
      <c r="M25" s="11">
        <v>2</v>
      </c>
      <c r="N25" s="11">
        <v>0.5</v>
      </c>
      <c r="O25" s="11">
        <v>1</v>
      </c>
      <c r="P25" s="11">
        <v>1</v>
      </c>
      <c r="Q25" s="11">
        <v>0</v>
      </c>
      <c r="R25" s="11">
        <v>1.5</v>
      </c>
      <c r="S25" s="11">
        <v>0</v>
      </c>
      <c r="T25" s="13">
        <f t="shared" si="0"/>
        <v>6</v>
      </c>
      <c r="U25" s="13">
        <f t="shared" si="1"/>
        <v>33.333333333333329</v>
      </c>
      <c r="V25" s="12">
        <v>0</v>
      </c>
      <c r="W25" s="12">
        <v>0</v>
      </c>
      <c r="X25" s="12">
        <v>0</v>
      </c>
      <c r="Y25" s="12">
        <v>0</v>
      </c>
      <c r="Z25" s="12">
        <v>1</v>
      </c>
      <c r="AA25" s="12">
        <v>1</v>
      </c>
      <c r="AB25" s="12">
        <v>1</v>
      </c>
      <c r="AC25" s="12">
        <v>1</v>
      </c>
      <c r="AD25" s="15">
        <f t="shared" si="2"/>
        <v>4</v>
      </c>
      <c r="AE25" s="15">
        <f t="shared" si="3"/>
        <v>50</v>
      </c>
      <c r="AF25" s="14">
        <v>4</v>
      </c>
      <c r="AG25" s="14">
        <v>4</v>
      </c>
      <c r="AH25" s="14">
        <v>2</v>
      </c>
      <c r="AI25" s="14">
        <v>5</v>
      </c>
      <c r="AJ25" s="14">
        <v>4</v>
      </c>
      <c r="AK25" s="14">
        <v>4</v>
      </c>
      <c r="AL25" s="14">
        <v>4</v>
      </c>
      <c r="AM25" s="14">
        <v>5</v>
      </c>
      <c r="AN25" s="14">
        <v>4</v>
      </c>
      <c r="AO25" s="17">
        <f t="shared" si="4"/>
        <v>36</v>
      </c>
      <c r="AP25" s="17">
        <f t="shared" si="5"/>
        <v>80</v>
      </c>
      <c r="AQ25" s="16">
        <v>1</v>
      </c>
      <c r="AR25" s="16">
        <v>2</v>
      </c>
      <c r="AS25" s="16">
        <v>1</v>
      </c>
      <c r="AT25" s="16">
        <v>1</v>
      </c>
      <c r="AU25" s="16">
        <v>1</v>
      </c>
      <c r="AV25" s="16">
        <v>1</v>
      </c>
      <c r="AW25" s="16">
        <v>2</v>
      </c>
      <c r="AX25" s="16">
        <v>1</v>
      </c>
      <c r="AY25" s="16">
        <v>1</v>
      </c>
      <c r="AZ25" s="16">
        <v>2</v>
      </c>
      <c r="BA25" s="18">
        <f t="shared" si="6"/>
        <v>13</v>
      </c>
      <c r="BB25" s="18">
        <f t="shared" si="7"/>
        <v>26</v>
      </c>
    </row>
    <row r="26" spans="1:54" ht="22.5" customHeight="1" x14ac:dyDescent="0.2">
      <c r="A26" s="9" t="s">
        <v>93</v>
      </c>
      <c r="B26" s="9" t="s">
        <v>68</v>
      </c>
      <c r="C26" s="9" t="s">
        <v>55</v>
      </c>
      <c r="D26" s="1" t="s">
        <v>100</v>
      </c>
      <c r="E26" s="9" t="s">
        <v>92</v>
      </c>
      <c r="F26" s="9" t="s">
        <v>92</v>
      </c>
      <c r="G26" s="9" t="s">
        <v>76</v>
      </c>
      <c r="H26" s="9" t="s">
        <v>57</v>
      </c>
      <c r="I26" s="9" t="s">
        <v>81</v>
      </c>
      <c r="J26" s="11">
        <v>0</v>
      </c>
      <c r="K26" s="11">
        <v>0</v>
      </c>
      <c r="L26" s="11">
        <v>0</v>
      </c>
      <c r="M26" s="11">
        <v>0</v>
      </c>
      <c r="N26" s="11">
        <v>0.5</v>
      </c>
      <c r="O26" s="11">
        <v>0</v>
      </c>
      <c r="P26" s="11">
        <v>0</v>
      </c>
      <c r="Q26" s="11">
        <v>0</v>
      </c>
      <c r="R26" s="11">
        <v>0.5</v>
      </c>
      <c r="S26" s="11">
        <v>0</v>
      </c>
      <c r="T26" s="13">
        <f t="shared" si="0"/>
        <v>1</v>
      </c>
      <c r="U26" s="13">
        <f t="shared" si="1"/>
        <v>5.5555555555555554</v>
      </c>
      <c r="V26" s="12">
        <v>0</v>
      </c>
      <c r="W26" s="12">
        <v>0</v>
      </c>
      <c r="X26" s="12">
        <v>0</v>
      </c>
      <c r="Y26" s="12">
        <v>1</v>
      </c>
      <c r="Z26" s="12">
        <v>0</v>
      </c>
      <c r="AA26" s="12">
        <v>0</v>
      </c>
      <c r="AB26" s="12">
        <v>0</v>
      </c>
      <c r="AC26" s="12">
        <v>1</v>
      </c>
      <c r="AD26" s="15">
        <f t="shared" si="2"/>
        <v>2</v>
      </c>
      <c r="AE26" s="15">
        <f t="shared" si="3"/>
        <v>25</v>
      </c>
      <c r="AF26" s="14">
        <v>4</v>
      </c>
      <c r="AG26" s="14">
        <v>4</v>
      </c>
      <c r="AH26" s="14">
        <v>4</v>
      </c>
      <c r="AI26" s="14">
        <v>4</v>
      </c>
      <c r="AJ26" s="14">
        <v>4</v>
      </c>
      <c r="AK26" s="14">
        <v>4</v>
      </c>
      <c r="AL26" s="14">
        <v>5</v>
      </c>
      <c r="AM26" s="14">
        <v>4</v>
      </c>
      <c r="AN26" s="14">
        <v>4</v>
      </c>
      <c r="AO26" s="17">
        <f t="shared" si="4"/>
        <v>37</v>
      </c>
      <c r="AP26" s="17">
        <f t="shared" si="5"/>
        <v>82.222222222222214</v>
      </c>
      <c r="AQ26" s="16">
        <v>1</v>
      </c>
      <c r="AR26" s="16">
        <v>1</v>
      </c>
      <c r="AS26" s="16">
        <v>1</v>
      </c>
      <c r="AT26" s="16">
        <v>3</v>
      </c>
      <c r="AU26" s="16">
        <v>1</v>
      </c>
      <c r="AV26" s="16">
        <v>2</v>
      </c>
      <c r="AW26" s="16">
        <v>2</v>
      </c>
      <c r="AX26" s="16">
        <v>2</v>
      </c>
      <c r="AY26" s="16">
        <v>1</v>
      </c>
      <c r="AZ26" s="16">
        <v>2</v>
      </c>
      <c r="BA26" s="18">
        <f t="shared" si="6"/>
        <v>16</v>
      </c>
      <c r="BB26" s="18">
        <f t="shared" si="7"/>
        <v>32</v>
      </c>
    </row>
    <row r="27" spans="1:54" ht="22.5" customHeight="1" x14ac:dyDescent="0.2">
      <c r="A27" s="9" t="s">
        <v>74</v>
      </c>
      <c r="B27" s="9" t="s">
        <v>68</v>
      </c>
      <c r="C27" s="9" t="s">
        <v>55</v>
      </c>
      <c r="D27" s="1" t="s">
        <v>100</v>
      </c>
      <c r="E27" s="9" t="s">
        <v>92</v>
      </c>
      <c r="F27" s="9" t="s">
        <v>92</v>
      </c>
      <c r="G27" s="9" t="s">
        <v>76</v>
      </c>
      <c r="H27" s="9" t="s">
        <v>57</v>
      </c>
      <c r="I27" s="9" t="s">
        <v>81</v>
      </c>
      <c r="J27" s="11">
        <v>0</v>
      </c>
      <c r="K27" s="11">
        <v>0</v>
      </c>
      <c r="L27" s="11">
        <v>2</v>
      </c>
      <c r="M27" s="11">
        <v>0</v>
      </c>
      <c r="N27" s="11">
        <v>0.5</v>
      </c>
      <c r="O27" s="11">
        <v>0</v>
      </c>
      <c r="P27" s="11">
        <v>1</v>
      </c>
      <c r="Q27" s="11">
        <v>0</v>
      </c>
      <c r="R27" s="11">
        <v>1.5</v>
      </c>
      <c r="S27" s="11">
        <v>1</v>
      </c>
      <c r="T27" s="13">
        <f t="shared" si="0"/>
        <v>6</v>
      </c>
      <c r="U27" s="13">
        <f t="shared" si="1"/>
        <v>33.333333333333329</v>
      </c>
      <c r="V27" s="12">
        <v>1</v>
      </c>
      <c r="W27" s="12">
        <v>1</v>
      </c>
      <c r="X27" s="12">
        <v>1</v>
      </c>
      <c r="Y27" s="12">
        <v>1</v>
      </c>
      <c r="Z27" s="12">
        <v>0</v>
      </c>
      <c r="AA27" s="12">
        <v>0</v>
      </c>
      <c r="AB27" s="12">
        <v>1</v>
      </c>
      <c r="AC27" s="12">
        <v>0</v>
      </c>
      <c r="AD27" s="15">
        <f t="shared" si="2"/>
        <v>5</v>
      </c>
      <c r="AE27" s="15">
        <f t="shared" si="3"/>
        <v>62.5</v>
      </c>
      <c r="AF27" s="14">
        <v>4</v>
      </c>
      <c r="AG27" s="14">
        <v>4</v>
      </c>
      <c r="AH27" s="14">
        <v>4</v>
      </c>
      <c r="AI27" s="14">
        <v>4</v>
      </c>
      <c r="AJ27" s="14">
        <v>4</v>
      </c>
      <c r="AK27" s="14">
        <v>4</v>
      </c>
      <c r="AL27" s="14">
        <v>4</v>
      </c>
      <c r="AM27" s="14">
        <v>4</v>
      </c>
      <c r="AN27" s="14">
        <v>4</v>
      </c>
      <c r="AO27" s="17">
        <f t="shared" si="4"/>
        <v>36</v>
      </c>
      <c r="AP27" s="17">
        <f t="shared" si="5"/>
        <v>80</v>
      </c>
      <c r="AQ27" s="16">
        <v>1</v>
      </c>
      <c r="AR27" s="16">
        <v>1</v>
      </c>
      <c r="AS27" s="16">
        <v>1</v>
      </c>
      <c r="AT27" s="16">
        <v>1</v>
      </c>
      <c r="AU27" s="16">
        <v>1</v>
      </c>
      <c r="AV27" s="16">
        <v>1</v>
      </c>
      <c r="AW27" s="16">
        <v>2</v>
      </c>
      <c r="AX27" s="16">
        <v>2</v>
      </c>
      <c r="AY27" s="16">
        <v>1</v>
      </c>
      <c r="AZ27" s="16">
        <v>2</v>
      </c>
      <c r="BA27" s="18">
        <f t="shared" si="6"/>
        <v>13</v>
      </c>
      <c r="BB27" s="18">
        <f t="shared" si="7"/>
        <v>26</v>
      </c>
    </row>
    <row r="28" spans="1:54" ht="22.5" customHeight="1" x14ac:dyDescent="0.2">
      <c r="A28" s="9" t="s">
        <v>67</v>
      </c>
      <c r="B28" s="9" t="s">
        <v>68</v>
      </c>
      <c r="C28" s="9" t="s">
        <v>55</v>
      </c>
      <c r="D28" s="1" t="s">
        <v>100</v>
      </c>
      <c r="E28" s="9" t="s">
        <v>92</v>
      </c>
      <c r="F28" s="9" t="s">
        <v>92</v>
      </c>
      <c r="G28" s="9" t="s">
        <v>76</v>
      </c>
      <c r="H28" s="9" t="s">
        <v>57</v>
      </c>
      <c r="I28" s="9" t="s">
        <v>81</v>
      </c>
      <c r="J28" s="11">
        <v>0</v>
      </c>
      <c r="K28" s="11">
        <v>0</v>
      </c>
      <c r="L28" s="11">
        <v>1</v>
      </c>
      <c r="M28" s="11">
        <v>0</v>
      </c>
      <c r="N28" s="11">
        <v>0.5</v>
      </c>
      <c r="O28" s="11">
        <v>0</v>
      </c>
      <c r="P28" s="11">
        <v>0.5</v>
      </c>
      <c r="Q28" s="11">
        <v>0</v>
      </c>
      <c r="R28" s="11">
        <v>1.5</v>
      </c>
      <c r="S28" s="11">
        <v>0.5</v>
      </c>
      <c r="T28" s="13">
        <f t="shared" si="0"/>
        <v>4</v>
      </c>
      <c r="U28" s="13">
        <f t="shared" si="1"/>
        <v>22.222222222222221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5">
        <f t="shared" si="2"/>
        <v>0</v>
      </c>
      <c r="AE28" s="15">
        <f t="shared" si="3"/>
        <v>0</v>
      </c>
      <c r="AF28" s="14">
        <v>4</v>
      </c>
      <c r="AG28" s="14">
        <v>4</v>
      </c>
      <c r="AH28" s="14">
        <v>4</v>
      </c>
      <c r="AI28" s="14">
        <v>4</v>
      </c>
      <c r="AJ28" s="14">
        <v>4</v>
      </c>
      <c r="AK28" s="14">
        <v>5</v>
      </c>
      <c r="AL28" s="14">
        <v>5</v>
      </c>
      <c r="AM28" s="14">
        <v>5</v>
      </c>
      <c r="AN28" s="14">
        <v>5</v>
      </c>
      <c r="AO28" s="17">
        <f t="shared" si="4"/>
        <v>40</v>
      </c>
      <c r="AP28" s="17">
        <f t="shared" si="5"/>
        <v>88.888888888888886</v>
      </c>
      <c r="AQ28" s="16">
        <v>2</v>
      </c>
      <c r="AR28" s="16">
        <v>2</v>
      </c>
      <c r="AS28" s="16">
        <v>2</v>
      </c>
      <c r="AT28" s="16">
        <v>2</v>
      </c>
      <c r="AU28" s="16">
        <v>1</v>
      </c>
      <c r="AV28" s="16">
        <v>2</v>
      </c>
      <c r="AW28" s="16">
        <v>2</v>
      </c>
      <c r="AX28" s="16">
        <v>2</v>
      </c>
      <c r="AY28" s="16">
        <v>1</v>
      </c>
      <c r="AZ28" s="16">
        <v>2</v>
      </c>
      <c r="BA28" s="18">
        <f t="shared" si="6"/>
        <v>18</v>
      </c>
      <c r="BB28" s="18">
        <f t="shared" si="7"/>
        <v>36</v>
      </c>
    </row>
    <row r="29" spans="1:54" ht="22.5" customHeight="1" x14ac:dyDescent="0.2">
      <c r="A29" s="9" t="s">
        <v>67</v>
      </c>
      <c r="B29" s="9" t="s">
        <v>68</v>
      </c>
      <c r="C29" s="9" t="s">
        <v>55</v>
      </c>
      <c r="D29" s="1" t="s">
        <v>57</v>
      </c>
      <c r="E29" s="9" t="s">
        <v>92</v>
      </c>
      <c r="F29" s="9" t="s">
        <v>92</v>
      </c>
      <c r="G29" s="9" t="s">
        <v>86</v>
      </c>
      <c r="H29" s="9" t="s">
        <v>57</v>
      </c>
      <c r="I29" s="9" t="s">
        <v>81</v>
      </c>
      <c r="J29" s="11">
        <v>0</v>
      </c>
      <c r="K29" s="11">
        <v>0</v>
      </c>
      <c r="L29" s="11">
        <v>0</v>
      </c>
      <c r="M29" s="11">
        <v>0</v>
      </c>
      <c r="N29" s="11">
        <v>0.5</v>
      </c>
      <c r="O29" s="11">
        <v>0</v>
      </c>
      <c r="P29" s="11">
        <v>0</v>
      </c>
      <c r="Q29" s="11">
        <v>0</v>
      </c>
      <c r="R29" s="11">
        <v>1.5</v>
      </c>
      <c r="S29" s="11">
        <v>0.5</v>
      </c>
      <c r="T29" s="13">
        <f t="shared" si="0"/>
        <v>2.5</v>
      </c>
      <c r="U29" s="13">
        <f t="shared" si="1"/>
        <v>13.888888888888889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5">
        <f t="shared" si="2"/>
        <v>0</v>
      </c>
      <c r="AE29" s="15">
        <f t="shared" si="3"/>
        <v>0</v>
      </c>
      <c r="AF29" s="14">
        <v>4</v>
      </c>
      <c r="AG29" s="14">
        <v>4</v>
      </c>
      <c r="AH29" s="14">
        <v>4</v>
      </c>
      <c r="AI29" s="14">
        <v>4</v>
      </c>
      <c r="AJ29" s="14">
        <v>4</v>
      </c>
      <c r="AK29" s="14">
        <v>4</v>
      </c>
      <c r="AL29" s="14">
        <v>4</v>
      </c>
      <c r="AM29" s="14">
        <v>4</v>
      </c>
      <c r="AN29" s="14">
        <v>4</v>
      </c>
      <c r="AO29" s="17">
        <f t="shared" si="4"/>
        <v>36</v>
      </c>
      <c r="AP29" s="17">
        <f t="shared" si="5"/>
        <v>80</v>
      </c>
      <c r="AQ29" s="16">
        <v>2</v>
      </c>
      <c r="AR29" s="16">
        <v>1</v>
      </c>
      <c r="AS29" s="16">
        <v>1</v>
      </c>
      <c r="AT29" s="16">
        <v>1</v>
      </c>
      <c r="AU29" s="16">
        <v>1</v>
      </c>
      <c r="AV29" s="16">
        <v>1</v>
      </c>
      <c r="AW29" s="16">
        <v>1</v>
      </c>
      <c r="AX29" s="16">
        <v>1</v>
      </c>
      <c r="AY29" s="16">
        <v>1</v>
      </c>
      <c r="AZ29" s="16">
        <v>1</v>
      </c>
      <c r="BA29" s="18">
        <f t="shared" si="6"/>
        <v>11</v>
      </c>
      <c r="BB29" s="18">
        <f t="shared" si="7"/>
        <v>22</v>
      </c>
    </row>
    <row r="30" spans="1:54" ht="22.5" customHeight="1" x14ac:dyDescent="0.2">
      <c r="A30" s="9" t="s">
        <v>93</v>
      </c>
      <c r="B30" s="9" t="s">
        <v>68</v>
      </c>
      <c r="C30" s="9" t="s">
        <v>69</v>
      </c>
      <c r="D30" s="1" t="s">
        <v>100</v>
      </c>
      <c r="E30" s="9" t="s">
        <v>85</v>
      </c>
      <c r="F30" s="9" t="s">
        <v>85</v>
      </c>
      <c r="G30" s="9" t="s">
        <v>61</v>
      </c>
      <c r="H30" s="9" t="s">
        <v>86</v>
      </c>
      <c r="I30" s="9" t="s">
        <v>62</v>
      </c>
      <c r="J30" s="11">
        <v>0</v>
      </c>
      <c r="K30" s="11">
        <v>0</v>
      </c>
      <c r="L30" s="11">
        <v>0</v>
      </c>
      <c r="M30" s="11">
        <v>0</v>
      </c>
      <c r="N30" s="11">
        <v>0.5</v>
      </c>
      <c r="O30" s="11">
        <v>0</v>
      </c>
      <c r="P30" s="11">
        <v>0</v>
      </c>
      <c r="Q30" s="11">
        <v>0</v>
      </c>
      <c r="R30" s="11">
        <v>1.5</v>
      </c>
      <c r="S30" s="11">
        <v>0</v>
      </c>
      <c r="T30" s="13">
        <f t="shared" si="0"/>
        <v>2</v>
      </c>
      <c r="U30" s="13">
        <f t="shared" si="1"/>
        <v>11.111111111111111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5">
        <f t="shared" si="2"/>
        <v>0</v>
      </c>
      <c r="AE30" s="15">
        <f t="shared" si="3"/>
        <v>0</v>
      </c>
      <c r="AF30" s="14">
        <v>4</v>
      </c>
      <c r="AG30" s="14">
        <v>4</v>
      </c>
      <c r="AH30" s="14">
        <v>4</v>
      </c>
      <c r="AI30" s="14">
        <v>4</v>
      </c>
      <c r="AJ30" s="14">
        <v>4</v>
      </c>
      <c r="AK30" s="14">
        <v>4</v>
      </c>
      <c r="AL30" s="14">
        <v>5</v>
      </c>
      <c r="AM30" s="14">
        <v>4</v>
      </c>
      <c r="AN30" s="14">
        <v>4</v>
      </c>
      <c r="AO30" s="17">
        <f t="shared" si="4"/>
        <v>37</v>
      </c>
      <c r="AP30" s="17">
        <f t="shared" si="5"/>
        <v>82.222222222222214</v>
      </c>
      <c r="AQ30" s="16">
        <v>1</v>
      </c>
      <c r="AR30" s="16">
        <v>1</v>
      </c>
      <c r="AS30" s="16">
        <v>1</v>
      </c>
      <c r="AT30" s="16">
        <v>1</v>
      </c>
      <c r="AU30" s="16">
        <v>1</v>
      </c>
      <c r="AV30" s="16">
        <v>1</v>
      </c>
      <c r="AW30" s="16">
        <v>1</v>
      </c>
      <c r="AX30" s="16">
        <v>1</v>
      </c>
      <c r="AY30" s="16">
        <v>1</v>
      </c>
      <c r="AZ30" s="16">
        <v>1</v>
      </c>
      <c r="BA30" s="18">
        <f t="shared" si="6"/>
        <v>10</v>
      </c>
      <c r="BB30" s="18">
        <f t="shared" si="7"/>
        <v>20</v>
      </c>
    </row>
    <row r="31" spans="1:54" ht="22.5" customHeight="1" x14ac:dyDescent="0.2">
      <c r="A31" s="9" t="s">
        <v>74</v>
      </c>
      <c r="B31" s="9" t="s">
        <v>54</v>
      </c>
      <c r="C31" s="9" t="s">
        <v>69</v>
      </c>
      <c r="D31" s="1" t="s">
        <v>57</v>
      </c>
      <c r="E31" s="9" t="s">
        <v>85</v>
      </c>
      <c r="F31" s="9" t="s">
        <v>85</v>
      </c>
      <c r="G31" s="9" t="s">
        <v>76</v>
      </c>
      <c r="H31" s="9" t="s">
        <v>101</v>
      </c>
      <c r="I31" s="9" t="s">
        <v>62</v>
      </c>
      <c r="J31" s="11">
        <v>0</v>
      </c>
      <c r="K31" s="11">
        <v>0</v>
      </c>
      <c r="L31" s="11">
        <v>3</v>
      </c>
      <c r="M31" s="11">
        <v>0.5</v>
      </c>
      <c r="N31" s="11">
        <v>1.5</v>
      </c>
      <c r="O31" s="11">
        <v>0</v>
      </c>
      <c r="P31" s="11">
        <v>0.5</v>
      </c>
      <c r="Q31" s="11">
        <v>0</v>
      </c>
      <c r="R31" s="11">
        <v>0.5</v>
      </c>
      <c r="S31" s="11">
        <v>1</v>
      </c>
      <c r="T31" s="13">
        <f t="shared" si="0"/>
        <v>7</v>
      </c>
      <c r="U31" s="13">
        <f t="shared" si="1"/>
        <v>38.888888888888893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5">
        <f t="shared" si="2"/>
        <v>0</v>
      </c>
      <c r="AE31" s="15">
        <f t="shared" si="3"/>
        <v>0</v>
      </c>
      <c r="AF31" s="14">
        <v>3</v>
      </c>
      <c r="AG31" s="14">
        <v>3</v>
      </c>
      <c r="AH31" s="14">
        <v>3</v>
      </c>
      <c r="AI31" s="14">
        <v>3</v>
      </c>
      <c r="AJ31" s="14">
        <v>3</v>
      </c>
      <c r="AK31" s="14">
        <v>3</v>
      </c>
      <c r="AL31" s="14">
        <v>3</v>
      </c>
      <c r="AM31" s="14">
        <v>3</v>
      </c>
      <c r="AN31" s="14">
        <v>3</v>
      </c>
      <c r="AO31" s="17">
        <f t="shared" si="4"/>
        <v>27</v>
      </c>
      <c r="AP31" s="17">
        <f t="shared" si="5"/>
        <v>60</v>
      </c>
      <c r="AQ31" s="16">
        <v>2</v>
      </c>
      <c r="AR31" s="16">
        <v>2</v>
      </c>
      <c r="AS31" s="16">
        <v>2</v>
      </c>
      <c r="AT31" s="16">
        <v>2</v>
      </c>
      <c r="AU31" s="16">
        <v>1</v>
      </c>
      <c r="AV31" s="16">
        <v>2</v>
      </c>
      <c r="AW31" s="16">
        <v>2</v>
      </c>
      <c r="AX31" s="16">
        <v>2</v>
      </c>
      <c r="AY31" s="16">
        <v>1</v>
      </c>
      <c r="AZ31" s="16">
        <v>2</v>
      </c>
      <c r="BA31" s="18">
        <f t="shared" si="6"/>
        <v>18</v>
      </c>
      <c r="BB31" s="18">
        <f t="shared" si="7"/>
        <v>36</v>
      </c>
    </row>
    <row r="32" spans="1:54" ht="22.5" customHeight="1" x14ac:dyDescent="0.2">
      <c r="A32" s="9" t="s">
        <v>52</v>
      </c>
      <c r="B32" s="9" t="s">
        <v>68</v>
      </c>
      <c r="C32" s="9" t="s">
        <v>55</v>
      </c>
      <c r="D32" s="1" t="s">
        <v>102</v>
      </c>
      <c r="E32" s="9" t="s">
        <v>92</v>
      </c>
      <c r="F32" s="9" t="s">
        <v>92</v>
      </c>
      <c r="G32" s="9" t="s">
        <v>86</v>
      </c>
      <c r="H32" s="9" t="s">
        <v>57</v>
      </c>
      <c r="I32" s="9" t="s">
        <v>81</v>
      </c>
      <c r="J32" s="11">
        <v>0</v>
      </c>
      <c r="K32" s="11">
        <v>0</v>
      </c>
      <c r="L32" s="11">
        <v>0</v>
      </c>
      <c r="M32" s="11">
        <v>0</v>
      </c>
      <c r="N32" s="11">
        <v>0.5</v>
      </c>
      <c r="O32" s="11">
        <v>0</v>
      </c>
      <c r="P32" s="11">
        <v>0</v>
      </c>
      <c r="Q32" s="11">
        <v>0</v>
      </c>
      <c r="R32" s="11">
        <v>1.5</v>
      </c>
      <c r="S32" s="11">
        <v>0</v>
      </c>
      <c r="T32" s="13">
        <f t="shared" si="0"/>
        <v>2</v>
      </c>
      <c r="U32" s="13">
        <f t="shared" si="1"/>
        <v>11.111111111111111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5">
        <f t="shared" si="2"/>
        <v>0</v>
      </c>
      <c r="AE32" s="15">
        <f t="shared" si="3"/>
        <v>0</v>
      </c>
      <c r="AF32" s="14">
        <v>4</v>
      </c>
      <c r="AG32" s="14">
        <v>4</v>
      </c>
      <c r="AH32" s="14">
        <v>4</v>
      </c>
      <c r="AI32" s="14">
        <v>4</v>
      </c>
      <c r="AJ32" s="14">
        <v>4</v>
      </c>
      <c r="AK32" s="14">
        <v>4</v>
      </c>
      <c r="AL32" s="14">
        <v>4</v>
      </c>
      <c r="AM32" s="14">
        <v>4</v>
      </c>
      <c r="AN32" s="14">
        <v>5</v>
      </c>
      <c r="AO32" s="17">
        <f t="shared" si="4"/>
        <v>37</v>
      </c>
      <c r="AP32" s="17">
        <f t="shared" si="5"/>
        <v>82.222222222222214</v>
      </c>
      <c r="AQ32" s="16">
        <v>2</v>
      </c>
      <c r="AR32" s="16">
        <v>2</v>
      </c>
      <c r="AS32" s="16">
        <v>2</v>
      </c>
      <c r="AT32" s="16">
        <v>1</v>
      </c>
      <c r="AU32" s="16">
        <v>1</v>
      </c>
      <c r="AV32" s="16">
        <v>1</v>
      </c>
      <c r="AW32" s="16">
        <v>1</v>
      </c>
      <c r="AX32" s="16">
        <v>1</v>
      </c>
      <c r="AY32" s="16">
        <v>1</v>
      </c>
      <c r="AZ32" s="16">
        <v>2</v>
      </c>
      <c r="BA32" s="18">
        <f t="shared" si="6"/>
        <v>14</v>
      </c>
      <c r="BB32" s="18">
        <f t="shared" si="7"/>
        <v>28.000000000000004</v>
      </c>
    </row>
    <row r="33" spans="1:54" ht="22.5" customHeight="1" x14ac:dyDescent="0.2">
      <c r="A33" s="9" t="s">
        <v>74</v>
      </c>
      <c r="B33" s="9" t="s">
        <v>68</v>
      </c>
      <c r="C33" s="9" t="s">
        <v>69</v>
      </c>
      <c r="D33" s="1" t="s">
        <v>100</v>
      </c>
      <c r="E33" s="9" t="s">
        <v>85</v>
      </c>
      <c r="F33" s="9" t="s">
        <v>92</v>
      </c>
      <c r="G33" s="9" t="s">
        <v>95</v>
      </c>
      <c r="H33" s="9" t="s">
        <v>57</v>
      </c>
      <c r="I33" s="9" t="s">
        <v>81</v>
      </c>
      <c r="J33" s="11">
        <v>0</v>
      </c>
      <c r="K33" s="11">
        <v>0</v>
      </c>
      <c r="L33" s="11">
        <v>0</v>
      </c>
      <c r="M33" s="11">
        <v>0</v>
      </c>
      <c r="N33" s="11">
        <v>0.5</v>
      </c>
      <c r="O33" s="11">
        <v>0</v>
      </c>
      <c r="P33" s="11">
        <v>0</v>
      </c>
      <c r="Q33" s="11">
        <v>0</v>
      </c>
      <c r="R33" s="11">
        <v>2</v>
      </c>
      <c r="S33" s="11">
        <v>0</v>
      </c>
      <c r="T33" s="13">
        <f t="shared" si="0"/>
        <v>2.5</v>
      </c>
      <c r="U33" s="13">
        <f t="shared" si="1"/>
        <v>13.888888888888889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1</v>
      </c>
      <c r="AD33" s="15">
        <f t="shared" si="2"/>
        <v>1</v>
      </c>
      <c r="AE33" s="15">
        <f t="shared" si="3"/>
        <v>12.5</v>
      </c>
      <c r="AF33" s="14">
        <v>4</v>
      </c>
      <c r="AG33" s="14">
        <v>4</v>
      </c>
      <c r="AH33" s="14">
        <v>4</v>
      </c>
      <c r="AI33" s="14">
        <v>5</v>
      </c>
      <c r="AJ33" s="14">
        <v>4</v>
      </c>
      <c r="AK33" s="14">
        <v>3</v>
      </c>
      <c r="AL33" s="14">
        <v>3</v>
      </c>
      <c r="AM33" s="14">
        <v>4</v>
      </c>
      <c r="AN33" s="14">
        <v>4</v>
      </c>
      <c r="AO33" s="17">
        <f t="shared" si="4"/>
        <v>35</v>
      </c>
      <c r="AP33" s="17">
        <f t="shared" si="5"/>
        <v>77.777777777777786</v>
      </c>
      <c r="AQ33" s="16">
        <v>1</v>
      </c>
      <c r="AR33" s="16">
        <v>1</v>
      </c>
      <c r="AS33" s="16">
        <v>2</v>
      </c>
      <c r="AT33" s="16">
        <v>1</v>
      </c>
      <c r="AU33" s="16">
        <v>1</v>
      </c>
      <c r="AV33" s="16">
        <v>1</v>
      </c>
      <c r="AW33" s="16">
        <v>1</v>
      </c>
      <c r="AX33" s="16">
        <v>2</v>
      </c>
      <c r="AY33" s="16">
        <v>1</v>
      </c>
      <c r="AZ33" s="16">
        <v>1</v>
      </c>
      <c r="BA33" s="18">
        <f t="shared" si="6"/>
        <v>12</v>
      </c>
      <c r="BB33" s="18">
        <f t="shared" si="7"/>
        <v>24</v>
      </c>
    </row>
    <row r="34" spans="1:54" ht="22.5" customHeight="1" x14ac:dyDescent="0.2">
      <c r="A34" s="9" t="s">
        <v>67</v>
      </c>
      <c r="B34" s="9" t="s">
        <v>54</v>
      </c>
      <c r="C34" s="9" t="s">
        <v>55</v>
      </c>
      <c r="D34" s="1" t="s">
        <v>57</v>
      </c>
      <c r="E34" s="9" t="s">
        <v>59</v>
      </c>
      <c r="F34" s="9" t="s">
        <v>71</v>
      </c>
      <c r="G34" s="9" t="s">
        <v>61</v>
      </c>
      <c r="H34" s="9" t="s">
        <v>57</v>
      </c>
      <c r="I34" s="9" t="s">
        <v>72</v>
      </c>
      <c r="J34" s="11">
        <v>1</v>
      </c>
      <c r="K34" s="11">
        <v>1</v>
      </c>
      <c r="L34" s="11">
        <v>1</v>
      </c>
      <c r="M34" s="11">
        <v>2</v>
      </c>
      <c r="N34" s="11">
        <v>1.5</v>
      </c>
      <c r="O34" s="11">
        <v>1</v>
      </c>
      <c r="P34" s="11">
        <v>2</v>
      </c>
      <c r="Q34" s="11">
        <v>1</v>
      </c>
      <c r="R34" s="11">
        <v>1.5</v>
      </c>
      <c r="S34" s="11">
        <v>2</v>
      </c>
      <c r="T34" s="13">
        <f t="shared" si="0"/>
        <v>14</v>
      </c>
      <c r="U34" s="13">
        <f t="shared" si="1"/>
        <v>77.777777777777786</v>
      </c>
      <c r="V34" s="12">
        <v>1</v>
      </c>
      <c r="W34" s="12">
        <v>1</v>
      </c>
      <c r="X34" s="12">
        <v>1</v>
      </c>
      <c r="Y34" s="12">
        <v>1</v>
      </c>
      <c r="Z34" s="12">
        <v>1</v>
      </c>
      <c r="AA34" s="12">
        <v>0</v>
      </c>
      <c r="AB34" s="12">
        <v>1</v>
      </c>
      <c r="AC34" s="12">
        <v>1</v>
      </c>
      <c r="AD34" s="15">
        <f t="shared" si="2"/>
        <v>7</v>
      </c>
      <c r="AE34" s="15">
        <f t="shared" si="3"/>
        <v>87.5</v>
      </c>
      <c r="AF34" s="14">
        <v>5</v>
      </c>
      <c r="AG34" s="14">
        <v>5</v>
      </c>
      <c r="AH34" s="14">
        <v>4</v>
      </c>
      <c r="AI34" s="14">
        <v>4</v>
      </c>
      <c r="AJ34" s="14">
        <v>4</v>
      </c>
      <c r="AK34" s="14">
        <v>4</v>
      </c>
      <c r="AL34" s="14">
        <v>4</v>
      </c>
      <c r="AM34" s="14">
        <v>4</v>
      </c>
      <c r="AN34" s="14">
        <v>4</v>
      </c>
      <c r="AO34" s="17">
        <f t="shared" si="4"/>
        <v>38</v>
      </c>
      <c r="AP34" s="17">
        <f t="shared" si="5"/>
        <v>84.444444444444443</v>
      </c>
      <c r="AQ34" s="16">
        <v>4</v>
      </c>
      <c r="AR34" s="16">
        <v>5</v>
      </c>
      <c r="AS34" s="16">
        <v>5</v>
      </c>
      <c r="AT34" s="16">
        <v>3</v>
      </c>
      <c r="AU34" s="16">
        <v>5</v>
      </c>
      <c r="AV34" s="16">
        <v>2</v>
      </c>
      <c r="AW34" s="16">
        <v>5</v>
      </c>
      <c r="AX34" s="16">
        <v>3</v>
      </c>
      <c r="AY34" s="16">
        <v>5</v>
      </c>
      <c r="AZ34" s="16">
        <v>3</v>
      </c>
      <c r="BA34" s="18">
        <f t="shared" si="6"/>
        <v>40</v>
      </c>
      <c r="BB34" s="18">
        <f t="shared" si="7"/>
        <v>80</v>
      </c>
    </row>
    <row r="35" spans="1:54" ht="22.5" customHeight="1" x14ac:dyDescent="0.2">
      <c r="A35" s="9" t="s">
        <v>67</v>
      </c>
      <c r="B35" s="9" t="s">
        <v>54</v>
      </c>
      <c r="C35" s="9" t="s">
        <v>69</v>
      </c>
      <c r="D35" s="1" t="s">
        <v>70</v>
      </c>
      <c r="E35" s="9" t="s">
        <v>71</v>
      </c>
      <c r="F35" s="9" t="s">
        <v>60</v>
      </c>
      <c r="G35" s="9" t="s">
        <v>61</v>
      </c>
      <c r="H35" s="9" t="s">
        <v>57</v>
      </c>
      <c r="I35" s="9" t="s">
        <v>72</v>
      </c>
      <c r="J35" s="11">
        <v>1</v>
      </c>
      <c r="K35" s="11">
        <v>1</v>
      </c>
      <c r="L35" s="11">
        <v>2</v>
      </c>
      <c r="M35" s="11">
        <v>2</v>
      </c>
      <c r="N35" s="11">
        <v>1</v>
      </c>
      <c r="O35" s="11">
        <v>1</v>
      </c>
      <c r="P35" s="11">
        <v>1</v>
      </c>
      <c r="Q35" s="11">
        <v>1</v>
      </c>
      <c r="R35" s="11">
        <v>1</v>
      </c>
      <c r="S35" s="11">
        <v>1.5</v>
      </c>
      <c r="T35" s="13">
        <f t="shared" si="0"/>
        <v>12.5</v>
      </c>
      <c r="U35" s="13">
        <f t="shared" si="1"/>
        <v>69.444444444444443</v>
      </c>
      <c r="V35" s="12">
        <v>1</v>
      </c>
      <c r="W35" s="12">
        <v>1</v>
      </c>
      <c r="X35" s="12">
        <v>1</v>
      </c>
      <c r="Y35" s="12">
        <v>1</v>
      </c>
      <c r="Z35" s="12">
        <v>1</v>
      </c>
      <c r="AA35" s="12">
        <v>1</v>
      </c>
      <c r="AB35" s="12">
        <v>1</v>
      </c>
      <c r="AC35" s="12">
        <v>1</v>
      </c>
      <c r="AD35" s="15">
        <f t="shared" si="2"/>
        <v>8</v>
      </c>
      <c r="AE35" s="15">
        <f t="shared" si="3"/>
        <v>100</v>
      </c>
      <c r="AF35" s="14">
        <v>4</v>
      </c>
      <c r="AG35" s="14">
        <v>3</v>
      </c>
      <c r="AH35" s="14">
        <v>3</v>
      </c>
      <c r="AI35" s="14">
        <v>3</v>
      </c>
      <c r="AJ35" s="14">
        <v>3</v>
      </c>
      <c r="AK35" s="14">
        <v>4</v>
      </c>
      <c r="AL35" s="14">
        <v>4</v>
      </c>
      <c r="AM35" s="14">
        <v>3</v>
      </c>
      <c r="AN35" s="14">
        <v>3</v>
      </c>
      <c r="AO35" s="17">
        <f t="shared" si="4"/>
        <v>30</v>
      </c>
      <c r="AP35" s="17">
        <f t="shared" si="5"/>
        <v>66.666666666666657</v>
      </c>
      <c r="AQ35" s="16">
        <v>4</v>
      </c>
      <c r="AR35" s="16">
        <v>4</v>
      </c>
      <c r="AS35" s="16">
        <v>4</v>
      </c>
      <c r="AT35" s="16">
        <v>3</v>
      </c>
      <c r="AU35" s="16">
        <v>5</v>
      </c>
      <c r="AV35" s="16">
        <v>3</v>
      </c>
      <c r="AW35" s="16">
        <v>3</v>
      </c>
      <c r="AX35" s="16">
        <v>3</v>
      </c>
      <c r="AY35" s="16">
        <v>5</v>
      </c>
      <c r="AZ35" s="16">
        <v>4</v>
      </c>
      <c r="BA35" s="18">
        <f t="shared" si="6"/>
        <v>38</v>
      </c>
      <c r="BB35" s="18">
        <f t="shared" si="7"/>
        <v>76</v>
      </c>
    </row>
    <row r="36" spans="1:54" ht="22.5" customHeight="1" x14ac:dyDescent="0.2">
      <c r="A36" s="9" t="s">
        <v>93</v>
      </c>
      <c r="B36" s="9" t="s">
        <v>54</v>
      </c>
      <c r="C36" s="9" t="s">
        <v>55</v>
      </c>
      <c r="D36" s="1" t="s">
        <v>70</v>
      </c>
      <c r="E36" s="9" t="s">
        <v>85</v>
      </c>
      <c r="F36" s="9" t="s">
        <v>85</v>
      </c>
      <c r="G36" s="9" t="s">
        <v>95</v>
      </c>
      <c r="H36" s="9" t="s">
        <v>86</v>
      </c>
      <c r="I36" s="9" t="s">
        <v>62</v>
      </c>
      <c r="J36" s="11">
        <v>0</v>
      </c>
      <c r="K36" s="11">
        <v>1</v>
      </c>
      <c r="L36" s="11">
        <v>1</v>
      </c>
      <c r="M36" s="11">
        <v>1</v>
      </c>
      <c r="N36" s="11">
        <v>1.5</v>
      </c>
      <c r="O36" s="11">
        <v>1</v>
      </c>
      <c r="P36" s="11">
        <v>1</v>
      </c>
      <c r="Q36" s="11">
        <v>0</v>
      </c>
      <c r="R36" s="11">
        <v>1.5</v>
      </c>
      <c r="S36" s="11">
        <v>1</v>
      </c>
      <c r="T36" s="13">
        <f t="shared" si="0"/>
        <v>9</v>
      </c>
      <c r="U36" s="13">
        <f t="shared" si="1"/>
        <v>50</v>
      </c>
      <c r="V36" s="12">
        <v>1</v>
      </c>
      <c r="W36" s="12">
        <v>1</v>
      </c>
      <c r="X36" s="12">
        <v>0</v>
      </c>
      <c r="Y36" s="12">
        <v>1</v>
      </c>
      <c r="Z36" s="12">
        <v>0</v>
      </c>
      <c r="AA36" s="12">
        <v>1</v>
      </c>
      <c r="AB36" s="12">
        <v>1</v>
      </c>
      <c r="AC36" s="12">
        <v>0</v>
      </c>
      <c r="AD36" s="15">
        <f t="shared" si="2"/>
        <v>5</v>
      </c>
      <c r="AE36" s="15">
        <f t="shared" si="3"/>
        <v>62.5</v>
      </c>
      <c r="AF36" s="14">
        <v>3</v>
      </c>
      <c r="AG36" s="14">
        <v>4</v>
      </c>
      <c r="AH36" s="14">
        <v>4</v>
      </c>
      <c r="AI36" s="14">
        <v>3</v>
      </c>
      <c r="AJ36" s="14">
        <v>4</v>
      </c>
      <c r="AK36" s="14">
        <v>3</v>
      </c>
      <c r="AL36" s="14">
        <v>2</v>
      </c>
      <c r="AM36" s="14">
        <v>3</v>
      </c>
      <c r="AN36" s="14">
        <v>4</v>
      </c>
      <c r="AO36" s="17">
        <f t="shared" si="4"/>
        <v>30</v>
      </c>
      <c r="AP36" s="17">
        <f t="shared" si="5"/>
        <v>66.666666666666657</v>
      </c>
      <c r="AQ36" s="16">
        <v>4</v>
      </c>
      <c r="AR36" s="16">
        <v>3</v>
      </c>
      <c r="AS36" s="16">
        <v>3</v>
      </c>
      <c r="AT36" s="16">
        <v>2</v>
      </c>
      <c r="AU36" s="16">
        <v>5</v>
      </c>
      <c r="AV36" s="16">
        <v>3</v>
      </c>
      <c r="AW36" s="16">
        <v>2</v>
      </c>
      <c r="AX36" s="16">
        <v>4</v>
      </c>
      <c r="AY36" s="16">
        <v>5</v>
      </c>
      <c r="AZ36" s="16">
        <v>4</v>
      </c>
      <c r="BA36" s="18">
        <f t="shared" si="6"/>
        <v>35</v>
      </c>
      <c r="BB36" s="18">
        <f t="shared" si="7"/>
        <v>70</v>
      </c>
    </row>
    <row r="37" spans="1:54" ht="22.5" customHeight="1" x14ac:dyDescent="0.2">
      <c r="A37" s="9" t="s">
        <v>67</v>
      </c>
      <c r="B37" s="9" t="s">
        <v>54</v>
      </c>
      <c r="C37" s="9" t="s">
        <v>55</v>
      </c>
      <c r="D37" s="1" t="s">
        <v>102</v>
      </c>
      <c r="E37" s="9" t="s">
        <v>59</v>
      </c>
      <c r="F37" s="9" t="s">
        <v>59</v>
      </c>
      <c r="G37" s="9" t="s">
        <v>86</v>
      </c>
      <c r="H37" s="9" t="s">
        <v>86</v>
      </c>
      <c r="I37" s="9" t="s">
        <v>96</v>
      </c>
      <c r="J37" s="11">
        <v>1</v>
      </c>
      <c r="K37" s="11">
        <v>1</v>
      </c>
      <c r="L37" s="11">
        <v>0</v>
      </c>
      <c r="M37" s="11">
        <v>1</v>
      </c>
      <c r="N37" s="11">
        <v>0.5</v>
      </c>
      <c r="O37" s="11">
        <v>1</v>
      </c>
      <c r="P37" s="11">
        <v>2</v>
      </c>
      <c r="Q37" s="11">
        <v>1</v>
      </c>
      <c r="R37" s="11">
        <v>1.5</v>
      </c>
      <c r="S37" s="11">
        <v>2</v>
      </c>
      <c r="T37" s="13">
        <f t="shared" si="0"/>
        <v>11</v>
      </c>
      <c r="U37" s="13">
        <f t="shared" si="1"/>
        <v>61.111111111111114</v>
      </c>
      <c r="V37" s="12">
        <v>1</v>
      </c>
      <c r="W37" s="12">
        <v>1</v>
      </c>
      <c r="X37" s="12">
        <v>1</v>
      </c>
      <c r="Y37" s="12">
        <v>1</v>
      </c>
      <c r="Z37" s="12">
        <v>1</v>
      </c>
      <c r="AA37" s="12">
        <v>1</v>
      </c>
      <c r="AB37" s="12">
        <v>1</v>
      </c>
      <c r="AC37" s="12">
        <v>1</v>
      </c>
      <c r="AD37" s="15">
        <f t="shared" si="2"/>
        <v>8</v>
      </c>
      <c r="AE37" s="15">
        <f t="shared" si="3"/>
        <v>100</v>
      </c>
      <c r="AF37" s="14">
        <v>2</v>
      </c>
      <c r="AG37" s="14">
        <v>2</v>
      </c>
      <c r="AH37" s="14">
        <v>4</v>
      </c>
      <c r="AI37" s="14">
        <v>2</v>
      </c>
      <c r="AJ37" s="14">
        <v>2</v>
      </c>
      <c r="AK37" s="14">
        <v>3</v>
      </c>
      <c r="AL37" s="14">
        <v>2</v>
      </c>
      <c r="AM37" s="14">
        <v>2</v>
      </c>
      <c r="AN37" s="14">
        <v>2</v>
      </c>
      <c r="AO37" s="17">
        <f t="shared" si="4"/>
        <v>21</v>
      </c>
      <c r="AP37" s="17">
        <f t="shared" si="5"/>
        <v>46.666666666666664</v>
      </c>
      <c r="AQ37" s="16">
        <v>3</v>
      </c>
      <c r="AR37" s="16">
        <v>1</v>
      </c>
      <c r="AS37" s="16">
        <v>5</v>
      </c>
      <c r="AT37" s="16">
        <v>2</v>
      </c>
      <c r="AU37" s="16">
        <v>5</v>
      </c>
      <c r="AV37" s="16">
        <v>5</v>
      </c>
      <c r="AW37" s="16">
        <v>5</v>
      </c>
      <c r="AX37" s="16">
        <v>5</v>
      </c>
      <c r="AY37" s="16">
        <v>5</v>
      </c>
      <c r="AZ37" s="16">
        <v>5</v>
      </c>
      <c r="BA37" s="18">
        <f t="shared" si="6"/>
        <v>41</v>
      </c>
      <c r="BB37" s="18">
        <f t="shared" si="7"/>
        <v>82</v>
      </c>
    </row>
    <row r="38" spans="1:54" ht="22.5" customHeight="1" x14ac:dyDescent="0.2">
      <c r="A38" s="9" t="s">
        <v>74</v>
      </c>
      <c r="B38" s="9" t="s">
        <v>54</v>
      </c>
      <c r="C38" s="9" t="s">
        <v>55</v>
      </c>
      <c r="D38" s="1" t="s">
        <v>100</v>
      </c>
      <c r="E38" s="9" t="s">
        <v>85</v>
      </c>
      <c r="F38" s="9" t="s">
        <v>85</v>
      </c>
      <c r="G38" s="9" t="s">
        <v>86</v>
      </c>
      <c r="H38" s="9" t="s">
        <v>57</v>
      </c>
      <c r="I38" s="9" t="s">
        <v>81</v>
      </c>
      <c r="J38" s="11">
        <v>0</v>
      </c>
      <c r="K38" s="11">
        <v>0</v>
      </c>
      <c r="L38" s="11">
        <v>0</v>
      </c>
      <c r="M38" s="11">
        <v>0</v>
      </c>
      <c r="N38" s="11">
        <v>0.5</v>
      </c>
      <c r="O38" s="11">
        <v>0</v>
      </c>
      <c r="P38" s="11">
        <v>0</v>
      </c>
      <c r="Q38" s="11">
        <v>0</v>
      </c>
      <c r="R38" s="11">
        <v>1.5</v>
      </c>
      <c r="S38" s="11">
        <v>0</v>
      </c>
      <c r="T38" s="13">
        <f t="shared" si="0"/>
        <v>2</v>
      </c>
      <c r="U38" s="13">
        <f t="shared" si="1"/>
        <v>11.111111111111111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5">
        <f t="shared" si="2"/>
        <v>0</v>
      </c>
      <c r="AE38" s="15">
        <f t="shared" si="3"/>
        <v>0</v>
      </c>
      <c r="AF38" s="14">
        <v>5</v>
      </c>
      <c r="AG38" s="14">
        <v>4</v>
      </c>
      <c r="AH38" s="14">
        <v>4</v>
      </c>
      <c r="AI38" s="14">
        <v>4</v>
      </c>
      <c r="AJ38" s="14">
        <v>4</v>
      </c>
      <c r="AK38" s="14">
        <v>4</v>
      </c>
      <c r="AL38" s="14">
        <v>3</v>
      </c>
      <c r="AM38" s="14">
        <v>4</v>
      </c>
      <c r="AN38" s="14">
        <v>4</v>
      </c>
      <c r="AO38" s="17">
        <f t="shared" si="4"/>
        <v>36</v>
      </c>
      <c r="AP38" s="17">
        <f t="shared" si="5"/>
        <v>80</v>
      </c>
      <c r="AQ38" s="16">
        <v>1</v>
      </c>
      <c r="AR38" s="16">
        <v>1</v>
      </c>
      <c r="AS38" s="16">
        <v>1</v>
      </c>
      <c r="AT38" s="16">
        <v>2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8">
        <f t="shared" si="6"/>
        <v>11</v>
      </c>
      <c r="BB38" s="18">
        <f t="shared" si="7"/>
        <v>22</v>
      </c>
    </row>
    <row r="39" spans="1:54" ht="22.5" customHeight="1" x14ac:dyDescent="0.2">
      <c r="A39" s="9" t="s">
        <v>74</v>
      </c>
      <c r="B39" s="9" t="s">
        <v>68</v>
      </c>
      <c r="C39" s="9" t="s">
        <v>69</v>
      </c>
      <c r="D39" s="1" t="s">
        <v>70</v>
      </c>
      <c r="E39" s="9" t="s">
        <v>71</v>
      </c>
      <c r="F39" s="9" t="s">
        <v>60</v>
      </c>
      <c r="G39" s="9" t="s">
        <v>76</v>
      </c>
      <c r="H39" s="9" t="s">
        <v>57</v>
      </c>
      <c r="I39" s="9" t="s">
        <v>62</v>
      </c>
      <c r="J39" s="11">
        <v>0</v>
      </c>
      <c r="K39" s="11">
        <v>1</v>
      </c>
      <c r="L39" s="11">
        <v>1</v>
      </c>
      <c r="M39" s="11">
        <v>1</v>
      </c>
      <c r="N39" s="11">
        <v>2</v>
      </c>
      <c r="O39" s="11">
        <v>1</v>
      </c>
      <c r="P39" s="11">
        <v>1.5</v>
      </c>
      <c r="Q39" s="11">
        <v>0</v>
      </c>
      <c r="R39" s="11">
        <v>1</v>
      </c>
      <c r="S39" s="11">
        <v>2</v>
      </c>
      <c r="T39" s="13">
        <f t="shared" si="0"/>
        <v>10.5</v>
      </c>
      <c r="U39" s="13">
        <f t="shared" si="1"/>
        <v>58.333333333333336</v>
      </c>
      <c r="V39" s="12">
        <v>1</v>
      </c>
      <c r="W39" s="12">
        <v>1</v>
      </c>
      <c r="X39" s="12">
        <v>0</v>
      </c>
      <c r="Y39" s="12">
        <v>0</v>
      </c>
      <c r="Z39" s="12">
        <v>0</v>
      </c>
      <c r="AA39" s="12">
        <v>1</v>
      </c>
      <c r="AB39" s="12">
        <v>0</v>
      </c>
      <c r="AC39" s="12">
        <v>0</v>
      </c>
      <c r="AD39" s="15">
        <f t="shared" si="2"/>
        <v>3</v>
      </c>
      <c r="AE39" s="15">
        <f t="shared" si="3"/>
        <v>37.5</v>
      </c>
      <c r="AF39" s="14">
        <v>4</v>
      </c>
      <c r="AG39" s="14">
        <v>5</v>
      </c>
      <c r="AH39" s="14">
        <v>5</v>
      </c>
      <c r="AI39" s="14">
        <v>4</v>
      </c>
      <c r="AJ39" s="14">
        <v>3</v>
      </c>
      <c r="AK39" s="14">
        <v>3</v>
      </c>
      <c r="AL39" s="14">
        <v>5</v>
      </c>
      <c r="AM39" s="14">
        <v>4</v>
      </c>
      <c r="AN39" s="14">
        <v>3</v>
      </c>
      <c r="AO39" s="17">
        <f t="shared" si="4"/>
        <v>36</v>
      </c>
      <c r="AP39" s="17">
        <f t="shared" si="5"/>
        <v>80</v>
      </c>
      <c r="AQ39" s="16">
        <v>5</v>
      </c>
      <c r="AR39" s="16">
        <v>5</v>
      </c>
      <c r="AS39" s="16">
        <v>4</v>
      </c>
      <c r="AT39" s="16">
        <v>3</v>
      </c>
      <c r="AU39" s="16">
        <v>1</v>
      </c>
      <c r="AV39" s="16">
        <v>4</v>
      </c>
      <c r="AW39" s="16">
        <v>5</v>
      </c>
      <c r="AX39" s="16">
        <v>5</v>
      </c>
      <c r="AY39" s="16">
        <v>5</v>
      </c>
      <c r="AZ39" s="16">
        <v>4</v>
      </c>
      <c r="BA39" s="18">
        <f t="shared" si="6"/>
        <v>41</v>
      </c>
      <c r="BB39" s="18">
        <f t="shared" si="7"/>
        <v>82</v>
      </c>
    </row>
    <row r="40" spans="1:54" ht="22.5" customHeight="1" x14ac:dyDescent="0.2">
      <c r="A40" s="9" t="s">
        <v>67</v>
      </c>
      <c r="B40" s="9" t="s">
        <v>68</v>
      </c>
      <c r="C40" s="9" t="s">
        <v>69</v>
      </c>
      <c r="D40" s="1" t="s">
        <v>100</v>
      </c>
      <c r="E40" s="9" t="s">
        <v>92</v>
      </c>
      <c r="F40" s="9" t="s">
        <v>92</v>
      </c>
      <c r="G40" s="9" t="s">
        <v>61</v>
      </c>
      <c r="H40" s="9" t="s">
        <v>57</v>
      </c>
      <c r="I40" s="9" t="s">
        <v>62</v>
      </c>
      <c r="J40" s="11">
        <v>1</v>
      </c>
      <c r="K40" s="11">
        <v>1</v>
      </c>
      <c r="L40" s="11">
        <v>2</v>
      </c>
      <c r="M40" s="11">
        <v>2</v>
      </c>
      <c r="N40" s="11">
        <v>0.5</v>
      </c>
      <c r="O40" s="11">
        <v>1</v>
      </c>
      <c r="P40" s="11">
        <v>1</v>
      </c>
      <c r="Q40" s="11">
        <v>1</v>
      </c>
      <c r="R40" s="11">
        <v>2</v>
      </c>
      <c r="S40" s="11">
        <v>1</v>
      </c>
      <c r="T40" s="13">
        <f t="shared" si="0"/>
        <v>12.5</v>
      </c>
      <c r="U40" s="13">
        <f t="shared" si="1"/>
        <v>69.444444444444443</v>
      </c>
      <c r="V40" s="12">
        <v>1</v>
      </c>
      <c r="W40" s="12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5">
        <f t="shared" si="2"/>
        <v>2</v>
      </c>
      <c r="AE40" s="15">
        <f t="shared" si="3"/>
        <v>25</v>
      </c>
      <c r="AF40" s="14">
        <v>5</v>
      </c>
      <c r="AG40" s="14">
        <v>5</v>
      </c>
      <c r="AH40" s="14">
        <v>5</v>
      </c>
      <c r="AI40" s="14">
        <v>5</v>
      </c>
      <c r="AJ40" s="14">
        <v>4</v>
      </c>
      <c r="AK40" s="14">
        <v>4</v>
      </c>
      <c r="AL40" s="14">
        <v>4</v>
      </c>
      <c r="AM40" s="14">
        <v>5</v>
      </c>
      <c r="AN40" s="14">
        <v>4</v>
      </c>
      <c r="AO40" s="17">
        <f t="shared" si="4"/>
        <v>41</v>
      </c>
      <c r="AP40" s="17">
        <f t="shared" si="5"/>
        <v>91.111111111111114</v>
      </c>
      <c r="AQ40" s="16">
        <v>3</v>
      </c>
      <c r="AR40" s="16">
        <v>3</v>
      </c>
      <c r="AS40" s="16">
        <v>3</v>
      </c>
      <c r="AT40" s="16">
        <v>2</v>
      </c>
      <c r="AU40" s="16">
        <v>1</v>
      </c>
      <c r="AV40" s="16">
        <v>3</v>
      </c>
      <c r="AW40" s="16">
        <v>2</v>
      </c>
      <c r="AX40" s="16">
        <v>1</v>
      </c>
      <c r="AY40" s="16">
        <v>1</v>
      </c>
      <c r="AZ40" s="16">
        <v>2</v>
      </c>
      <c r="BA40" s="18">
        <f t="shared" si="6"/>
        <v>21</v>
      </c>
      <c r="BB40" s="18">
        <f t="shared" si="7"/>
        <v>42</v>
      </c>
    </row>
    <row r="41" spans="1:54" ht="22.5" customHeight="1" x14ac:dyDescent="0.2">
      <c r="A41" s="9" t="s">
        <v>52</v>
      </c>
      <c r="B41" s="9" t="s">
        <v>54</v>
      </c>
      <c r="C41" s="9" t="s">
        <v>69</v>
      </c>
      <c r="D41" s="1" t="s">
        <v>100</v>
      </c>
      <c r="E41" s="9" t="s">
        <v>92</v>
      </c>
      <c r="F41" s="9" t="s">
        <v>92</v>
      </c>
      <c r="G41" s="9" t="s">
        <v>95</v>
      </c>
      <c r="H41" s="9" t="s">
        <v>99</v>
      </c>
      <c r="I41" s="9" t="s">
        <v>96</v>
      </c>
      <c r="J41" s="11">
        <v>0</v>
      </c>
      <c r="K41" s="11">
        <v>1</v>
      </c>
      <c r="L41" s="11">
        <v>1</v>
      </c>
      <c r="M41" s="11">
        <v>0.5</v>
      </c>
      <c r="N41" s="11">
        <v>0.5</v>
      </c>
      <c r="O41" s="11">
        <v>0</v>
      </c>
      <c r="P41" s="11">
        <v>2</v>
      </c>
      <c r="Q41" s="11">
        <v>1</v>
      </c>
      <c r="R41" s="11">
        <v>1</v>
      </c>
      <c r="S41" s="11">
        <v>2</v>
      </c>
      <c r="T41" s="13">
        <f t="shared" si="0"/>
        <v>9</v>
      </c>
      <c r="U41" s="13">
        <f t="shared" si="1"/>
        <v>50</v>
      </c>
      <c r="V41" s="12">
        <v>1</v>
      </c>
      <c r="W41" s="12">
        <v>1</v>
      </c>
      <c r="X41" s="12">
        <v>1</v>
      </c>
      <c r="Y41" s="12">
        <v>0</v>
      </c>
      <c r="Z41" s="12">
        <v>1</v>
      </c>
      <c r="AA41" s="12">
        <v>1</v>
      </c>
      <c r="AB41" s="12">
        <v>1</v>
      </c>
      <c r="AC41" s="12">
        <v>1</v>
      </c>
      <c r="AD41" s="15">
        <f t="shared" si="2"/>
        <v>7</v>
      </c>
      <c r="AE41" s="15">
        <f t="shared" si="3"/>
        <v>87.5</v>
      </c>
      <c r="AF41" s="14">
        <v>4</v>
      </c>
      <c r="AG41" s="14">
        <v>5</v>
      </c>
      <c r="AH41" s="14">
        <v>5</v>
      </c>
      <c r="AI41" s="14">
        <v>4</v>
      </c>
      <c r="AJ41" s="14">
        <v>4</v>
      </c>
      <c r="AK41" s="14">
        <v>4</v>
      </c>
      <c r="AL41" s="14">
        <v>5</v>
      </c>
      <c r="AM41" s="14">
        <v>5</v>
      </c>
      <c r="AN41" s="14">
        <v>4</v>
      </c>
      <c r="AO41" s="17">
        <f t="shared" si="4"/>
        <v>40</v>
      </c>
      <c r="AP41" s="17">
        <f t="shared" si="5"/>
        <v>88.888888888888886</v>
      </c>
      <c r="AQ41" s="16">
        <v>5</v>
      </c>
      <c r="AR41" s="16">
        <v>4</v>
      </c>
      <c r="AS41" s="16">
        <v>3</v>
      </c>
      <c r="AT41" s="16">
        <v>4</v>
      </c>
      <c r="AU41" s="16">
        <v>1</v>
      </c>
      <c r="AV41" s="16">
        <v>5</v>
      </c>
      <c r="AW41" s="16">
        <v>5</v>
      </c>
      <c r="AX41" s="16">
        <v>5</v>
      </c>
      <c r="AY41" s="16">
        <v>1</v>
      </c>
      <c r="AZ41" s="16">
        <v>4</v>
      </c>
      <c r="BA41" s="18">
        <f t="shared" si="6"/>
        <v>37</v>
      </c>
      <c r="BB41" s="18">
        <f t="shared" si="7"/>
        <v>74</v>
      </c>
    </row>
    <row r="42" spans="1:54" ht="22.5" customHeight="1" x14ac:dyDescent="0.2">
      <c r="A42" s="9" t="s">
        <v>93</v>
      </c>
      <c r="B42" s="9" t="s">
        <v>54</v>
      </c>
      <c r="C42" s="9" t="s">
        <v>69</v>
      </c>
      <c r="D42" s="1" t="s">
        <v>100</v>
      </c>
      <c r="E42" s="9" t="s">
        <v>92</v>
      </c>
      <c r="F42" s="9" t="s">
        <v>85</v>
      </c>
      <c r="G42" s="9" t="s">
        <v>95</v>
      </c>
      <c r="H42" s="9" t="s">
        <v>57</v>
      </c>
      <c r="I42" s="9" t="s">
        <v>81</v>
      </c>
      <c r="J42" s="11">
        <v>0</v>
      </c>
      <c r="K42" s="11">
        <v>0</v>
      </c>
      <c r="L42" s="11">
        <v>0</v>
      </c>
      <c r="M42" s="11">
        <v>0</v>
      </c>
      <c r="N42" s="11">
        <v>0.5</v>
      </c>
      <c r="O42" s="11">
        <v>0</v>
      </c>
      <c r="P42" s="11">
        <v>0</v>
      </c>
      <c r="Q42" s="11">
        <v>0</v>
      </c>
      <c r="R42" s="11">
        <v>1.5</v>
      </c>
      <c r="S42" s="11">
        <v>0</v>
      </c>
      <c r="T42" s="13">
        <f t="shared" si="0"/>
        <v>2</v>
      </c>
      <c r="U42" s="13">
        <f t="shared" si="1"/>
        <v>11.111111111111111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5">
        <f t="shared" si="2"/>
        <v>0</v>
      </c>
      <c r="AE42" s="15">
        <f t="shared" si="3"/>
        <v>0</v>
      </c>
      <c r="AF42" s="14">
        <v>4</v>
      </c>
      <c r="AG42" s="14">
        <v>4</v>
      </c>
      <c r="AH42" s="14">
        <v>4</v>
      </c>
      <c r="AI42" s="14">
        <v>4</v>
      </c>
      <c r="AJ42" s="14">
        <v>4</v>
      </c>
      <c r="AK42" s="14">
        <v>4</v>
      </c>
      <c r="AL42" s="14">
        <v>4</v>
      </c>
      <c r="AM42" s="14">
        <v>4</v>
      </c>
      <c r="AN42" s="14">
        <v>4</v>
      </c>
      <c r="AO42" s="17">
        <f t="shared" si="4"/>
        <v>36</v>
      </c>
      <c r="AP42" s="17">
        <f t="shared" si="5"/>
        <v>80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8">
        <f t="shared" si="6"/>
        <v>10</v>
      </c>
      <c r="BB42" s="18">
        <f t="shared" si="7"/>
        <v>20</v>
      </c>
    </row>
    <row r="43" spans="1:54" ht="22.5" customHeight="1" x14ac:dyDescent="0.2">
      <c r="A43" s="9" t="s">
        <v>74</v>
      </c>
      <c r="B43" s="9" t="s">
        <v>68</v>
      </c>
      <c r="C43" s="9" t="s">
        <v>69</v>
      </c>
      <c r="D43" s="1" t="s">
        <v>70</v>
      </c>
      <c r="E43" s="9" t="s">
        <v>71</v>
      </c>
      <c r="F43" s="9" t="s">
        <v>71</v>
      </c>
      <c r="G43" s="9" t="s">
        <v>61</v>
      </c>
      <c r="H43" s="9" t="s">
        <v>57</v>
      </c>
      <c r="I43" s="9" t="s">
        <v>96</v>
      </c>
      <c r="J43" s="11">
        <v>1</v>
      </c>
      <c r="K43" s="11">
        <v>1</v>
      </c>
      <c r="L43" s="11">
        <v>0</v>
      </c>
      <c r="M43" s="11">
        <v>0.5</v>
      </c>
      <c r="N43" s="11">
        <v>2</v>
      </c>
      <c r="O43" s="11">
        <v>0</v>
      </c>
      <c r="P43" s="11">
        <v>1.5</v>
      </c>
      <c r="Q43" s="11">
        <v>0</v>
      </c>
      <c r="R43" s="11">
        <v>1</v>
      </c>
      <c r="S43" s="11">
        <v>1</v>
      </c>
      <c r="T43" s="13">
        <f t="shared" si="0"/>
        <v>8</v>
      </c>
      <c r="U43" s="13">
        <f t="shared" si="1"/>
        <v>44.444444444444443</v>
      </c>
      <c r="V43" s="12">
        <v>1</v>
      </c>
      <c r="W43" s="12">
        <v>1</v>
      </c>
      <c r="X43" s="12">
        <v>1</v>
      </c>
      <c r="Y43" s="12">
        <v>0</v>
      </c>
      <c r="Z43" s="12">
        <v>0</v>
      </c>
      <c r="AA43" s="12">
        <v>1</v>
      </c>
      <c r="AB43" s="12">
        <v>1</v>
      </c>
      <c r="AC43" s="12">
        <v>1</v>
      </c>
      <c r="AD43" s="15">
        <f t="shared" si="2"/>
        <v>6</v>
      </c>
      <c r="AE43" s="15">
        <f t="shared" si="3"/>
        <v>75</v>
      </c>
      <c r="AF43" s="14">
        <v>3</v>
      </c>
      <c r="AG43" s="14">
        <v>3</v>
      </c>
      <c r="AH43" s="14">
        <v>3</v>
      </c>
      <c r="AI43" s="14">
        <v>4</v>
      </c>
      <c r="AJ43" s="14">
        <v>3</v>
      </c>
      <c r="AK43" s="14">
        <v>4</v>
      </c>
      <c r="AL43" s="14">
        <v>3</v>
      </c>
      <c r="AM43" s="14">
        <v>3</v>
      </c>
      <c r="AN43" s="14">
        <v>3</v>
      </c>
      <c r="AO43" s="17">
        <f t="shared" si="4"/>
        <v>29</v>
      </c>
      <c r="AP43" s="17">
        <f t="shared" si="5"/>
        <v>64.444444444444443</v>
      </c>
      <c r="AQ43" s="16">
        <v>4</v>
      </c>
      <c r="AR43" s="16">
        <v>2</v>
      </c>
      <c r="AS43" s="16">
        <v>1</v>
      </c>
      <c r="AT43" s="16">
        <v>4</v>
      </c>
      <c r="AU43" s="16">
        <v>1</v>
      </c>
      <c r="AV43" s="16">
        <v>2</v>
      </c>
      <c r="AW43" s="16">
        <v>2</v>
      </c>
      <c r="AX43" s="16">
        <v>2</v>
      </c>
      <c r="AY43" s="16">
        <v>1</v>
      </c>
      <c r="AZ43" s="16">
        <v>2</v>
      </c>
      <c r="BA43" s="18">
        <f t="shared" si="6"/>
        <v>21</v>
      </c>
      <c r="BB43" s="18">
        <f t="shared" si="7"/>
        <v>42</v>
      </c>
    </row>
    <row r="44" spans="1:54" ht="22.5" customHeight="1" x14ac:dyDescent="0.2">
      <c r="A44" s="9" t="s">
        <v>52</v>
      </c>
      <c r="B44" s="9" t="s">
        <v>54</v>
      </c>
      <c r="C44" s="9" t="s">
        <v>55</v>
      </c>
      <c r="D44" s="1" t="s">
        <v>57</v>
      </c>
      <c r="E44" s="9" t="s">
        <v>85</v>
      </c>
      <c r="F44" s="9" t="s">
        <v>85</v>
      </c>
      <c r="G44" s="9" t="s">
        <v>86</v>
      </c>
      <c r="H44" s="9" t="s">
        <v>57</v>
      </c>
      <c r="I44" s="9" t="s">
        <v>81</v>
      </c>
      <c r="J44" s="11">
        <v>0</v>
      </c>
      <c r="K44" s="11">
        <v>0</v>
      </c>
      <c r="L44" s="11">
        <v>0</v>
      </c>
      <c r="M44" s="11">
        <v>0</v>
      </c>
      <c r="N44" s="11">
        <v>0.5</v>
      </c>
      <c r="O44" s="11">
        <v>0</v>
      </c>
      <c r="P44" s="11">
        <v>0</v>
      </c>
      <c r="Q44" s="11">
        <v>0</v>
      </c>
      <c r="R44" s="11">
        <v>1.5</v>
      </c>
      <c r="S44" s="11">
        <v>0</v>
      </c>
      <c r="T44" s="13">
        <f t="shared" si="0"/>
        <v>2</v>
      </c>
      <c r="U44" s="13">
        <f t="shared" si="1"/>
        <v>11.111111111111111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5">
        <f t="shared" si="2"/>
        <v>0</v>
      </c>
      <c r="AE44" s="15">
        <f t="shared" si="3"/>
        <v>0</v>
      </c>
      <c r="AF44" s="14">
        <v>4</v>
      </c>
      <c r="AG44" s="14">
        <v>4</v>
      </c>
      <c r="AH44" s="14">
        <v>5</v>
      </c>
      <c r="AI44" s="14">
        <v>4</v>
      </c>
      <c r="AJ44" s="14">
        <v>4</v>
      </c>
      <c r="AK44" s="14">
        <v>4</v>
      </c>
      <c r="AL44" s="14">
        <v>4</v>
      </c>
      <c r="AM44" s="14">
        <v>4</v>
      </c>
      <c r="AN44" s="14">
        <v>5</v>
      </c>
      <c r="AO44" s="17">
        <f t="shared" si="4"/>
        <v>38</v>
      </c>
      <c r="AP44" s="17">
        <f t="shared" si="5"/>
        <v>84.444444444444443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8">
        <f t="shared" si="6"/>
        <v>10</v>
      </c>
      <c r="BB44" s="18">
        <f t="shared" si="7"/>
        <v>20</v>
      </c>
    </row>
    <row r="45" spans="1:54" ht="22.5" customHeight="1" x14ac:dyDescent="0.2">
      <c r="A45" s="9" t="s">
        <v>74</v>
      </c>
      <c r="B45" s="9" t="s">
        <v>54</v>
      </c>
      <c r="C45" s="9" t="s">
        <v>69</v>
      </c>
      <c r="D45" s="1" t="s">
        <v>57</v>
      </c>
      <c r="E45" s="9" t="s">
        <v>60</v>
      </c>
      <c r="F45" s="9" t="s">
        <v>71</v>
      </c>
      <c r="G45" s="9" t="s">
        <v>76</v>
      </c>
      <c r="H45" s="9" t="s">
        <v>57</v>
      </c>
      <c r="I45" s="9" t="s">
        <v>96</v>
      </c>
      <c r="J45" s="11">
        <v>1</v>
      </c>
      <c r="K45" s="11">
        <v>1</v>
      </c>
      <c r="L45" s="11">
        <v>1</v>
      </c>
      <c r="M45" s="11">
        <v>2</v>
      </c>
      <c r="N45" s="11">
        <v>2</v>
      </c>
      <c r="O45" s="11">
        <v>1</v>
      </c>
      <c r="P45" s="11">
        <v>1</v>
      </c>
      <c r="Q45" s="11">
        <v>1</v>
      </c>
      <c r="R45" s="11">
        <v>1.5</v>
      </c>
      <c r="S45" s="11">
        <v>1.5</v>
      </c>
      <c r="T45" s="13">
        <f t="shared" si="0"/>
        <v>13</v>
      </c>
      <c r="U45" s="13">
        <f t="shared" si="1"/>
        <v>72.222222222222214</v>
      </c>
      <c r="V45" s="12">
        <v>1</v>
      </c>
      <c r="W45" s="12">
        <v>1</v>
      </c>
      <c r="X45" s="12">
        <v>1</v>
      </c>
      <c r="Y45" s="12">
        <v>1</v>
      </c>
      <c r="Z45" s="12">
        <v>1</v>
      </c>
      <c r="AA45" s="12">
        <v>1</v>
      </c>
      <c r="AB45" s="12">
        <v>1</v>
      </c>
      <c r="AC45" s="12">
        <v>0</v>
      </c>
      <c r="AD45" s="15">
        <f t="shared" si="2"/>
        <v>7</v>
      </c>
      <c r="AE45" s="15">
        <f t="shared" si="3"/>
        <v>87.5</v>
      </c>
      <c r="AF45" s="14">
        <v>4</v>
      </c>
      <c r="AG45" s="14">
        <v>4</v>
      </c>
      <c r="AH45" s="14">
        <v>4</v>
      </c>
      <c r="AI45" s="14">
        <v>4</v>
      </c>
      <c r="AJ45" s="14">
        <v>4</v>
      </c>
      <c r="AK45" s="14">
        <v>3</v>
      </c>
      <c r="AL45" s="14">
        <v>4</v>
      </c>
      <c r="AM45" s="14">
        <v>4</v>
      </c>
      <c r="AN45" s="14">
        <v>5</v>
      </c>
      <c r="AO45" s="17">
        <f t="shared" si="4"/>
        <v>36</v>
      </c>
      <c r="AP45" s="17">
        <f t="shared" si="5"/>
        <v>80</v>
      </c>
      <c r="AQ45" s="16">
        <v>4</v>
      </c>
      <c r="AR45" s="16">
        <v>3</v>
      </c>
      <c r="AS45" s="16">
        <v>4</v>
      </c>
      <c r="AT45" s="16">
        <v>3</v>
      </c>
      <c r="AU45" s="16">
        <v>5</v>
      </c>
      <c r="AV45" s="16">
        <v>2</v>
      </c>
      <c r="AW45" s="16">
        <v>5</v>
      </c>
      <c r="AX45" s="16">
        <v>5</v>
      </c>
      <c r="AY45" s="16">
        <v>5</v>
      </c>
      <c r="AZ45" s="16">
        <v>4</v>
      </c>
      <c r="BA45" s="18">
        <f t="shared" si="6"/>
        <v>40</v>
      </c>
      <c r="BB45" s="18">
        <f t="shared" si="7"/>
        <v>80</v>
      </c>
    </row>
    <row r="46" spans="1:54" ht="22.5" customHeight="1" x14ac:dyDescent="0.2">
      <c r="A46" s="9" t="s">
        <v>74</v>
      </c>
      <c r="B46" s="9" t="s">
        <v>68</v>
      </c>
      <c r="C46" s="9" t="s">
        <v>69</v>
      </c>
      <c r="D46" s="1" t="s">
        <v>100</v>
      </c>
      <c r="E46" s="9" t="s">
        <v>60</v>
      </c>
      <c r="F46" s="9" t="s">
        <v>85</v>
      </c>
      <c r="G46" s="9" t="s">
        <v>61</v>
      </c>
      <c r="H46" s="9" t="s">
        <v>57</v>
      </c>
      <c r="I46" s="9" t="s">
        <v>62</v>
      </c>
      <c r="J46" s="11">
        <v>0</v>
      </c>
      <c r="K46" s="11">
        <v>0</v>
      </c>
      <c r="L46" s="11">
        <v>0</v>
      </c>
      <c r="M46" s="11">
        <v>0</v>
      </c>
      <c r="N46" s="11">
        <v>0.5</v>
      </c>
      <c r="O46" s="11">
        <v>0</v>
      </c>
      <c r="P46" s="11">
        <v>0</v>
      </c>
      <c r="Q46" s="11">
        <v>0</v>
      </c>
      <c r="R46" s="11">
        <v>1.5</v>
      </c>
      <c r="S46" s="11">
        <v>0</v>
      </c>
      <c r="T46" s="13">
        <f t="shared" si="0"/>
        <v>2</v>
      </c>
      <c r="U46" s="13">
        <f t="shared" si="1"/>
        <v>11.111111111111111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5">
        <f t="shared" si="2"/>
        <v>0</v>
      </c>
      <c r="AE46" s="15">
        <f t="shared" si="3"/>
        <v>0</v>
      </c>
      <c r="AF46" s="14">
        <v>5</v>
      </c>
      <c r="AG46" s="14">
        <v>4</v>
      </c>
      <c r="AH46" s="14">
        <v>4</v>
      </c>
      <c r="AI46" s="14">
        <v>5</v>
      </c>
      <c r="AJ46" s="14">
        <v>4</v>
      </c>
      <c r="AK46" s="14">
        <v>4</v>
      </c>
      <c r="AL46" s="14">
        <v>5</v>
      </c>
      <c r="AM46" s="14">
        <v>4</v>
      </c>
      <c r="AN46" s="14">
        <v>4</v>
      </c>
      <c r="AO46" s="17">
        <f t="shared" si="4"/>
        <v>39</v>
      </c>
      <c r="AP46" s="17">
        <f t="shared" si="5"/>
        <v>86.666666666666671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8">
        <f t="shared" si="6"/>
        <v>10</v>
      </c>
      <c r="BB46" s="18">
        <f t="shared" si="7"/>
        <v>20</v>
      </c>
    </row>
    <row r="47" spans="1:54" ht="22.5" customHeight="1" x14ac:dyDescent="0.2">
      <c r="A47" s="9" t="s">
        <v>52</v>
      </c>
      <c r="B47" s="9" t="s">
        <v>68</v>
      </c>
      <c r="C47" s="9" t="s">
        <v>69</v>
      </c>
      <c r="D47" s="1" t="s">
        <v>84</v>
      </c>
      <c r="E47" s="9" t="s">
        <v>71</v>
      </c>
      <c r="F47" s="9" t="s">
        <v>71</v>
      </c>
      <c r="G47" s="9" t="s">
        <v>95</v>
      </c>
      <c r="H47" s="9" t="s">
        <v>97</v>
      </c>
      <c r="I47" s="9" t="s">
        <v>62</v>
      </c>
      <c r="J47" s="11">
        <v>1</v>
      </c>
      <c r="K47" s="11">
        <v>1</v>
      </c>
      <c r="L47" s="11">
        <v>2</v>
      </c>
      <c r="M47" s="11">
        <v>0.5</v>
      </c>
      <c r="N47" s="11">
        <v>1</v>
      </c>
      <c r="O47" s="11">
        <v>1</v>
      </c>
      <c r="P47" s="11">
        <v>1</v>
      </c>
      <c r="Q47" s="11">
        <v>0</v>
      </c>
      <c r="R47" s="11">
        <v>0.5</v>
      </c>
      <c r="S47" s="11">
        <v>1.5</v>
      </c>
      <c r="T47" s="13">
        <f t="shared" si="0"/>
        <v>9.5</v>
      </c>
      <c r="U47" s="13">
        <f t="shared" si="1"/>
        <v>52.777777777777779</v>
      </c>
      <c r="V47" s="12">
        <v>1</v>
      </c>
      <c r="W47" s="12">
        <v>1</v>
      </c>
      <c r="X47" s="12">
        <v>0</v>
      </c>
      <c r="Y47" s="12">
        <v>0</v>
      </c>
      <c r="Z47" s="12">
        <v>1</v>
      </c>
      <c r="AA47" s="12">
        <v>0</v>
      </c>
      <c r="AB47" s="12">
        <v>1</v>
      </c>
      <c r="AC47" s="12">
        <v>0</v>
      </c>
      <c r="AD47" s="15">
        <f t="shared" si="2"/>
        <v>4</v>
      </c>
      <c r="AE47" s="15">
        <f t="shared" si="3"/>
        <v>50</v>
      </c>
      <c r="AF47" s="14">
        <v>2</v>
      </c>
      <c r="AG47" s="14">
        <v>3</v>
      </c>
      <c r="AH47" s="14">
        <v>4</v>
      </c>
      <c r="AI47" s="14">
        <v>3</v>
      </c>
      <c r="AJ47" s="14">
        <v>5</v>
      </c>
      <c r="AK47" s="14">
        <v>2</v>
      </c>
      <c r="AL47" s="14">
        <v>2</v>
      </c>
      <c r="AM47" s="14">
        <v>3</v>
      </c>
      <c r="AN47" s="14">
        <v>4</v>
      </c>
      <c r="AO47" s="17">
        <f t="shared" si="4"/>
        <v>28</v>
      </c>
      <c r="AP47" s="17">
        <f t="shared" si="5"/>
        <v>62.222222222222221</v>
      </c>
      <c r="AQ47" s="16">
        <v>3</v>
      </c>
      <c r="AR47" s="16">
        <v>2</v>
      </c>
      <c r="AS47" s="16">
        <v>4</v>
      </c>
      <c r="AT47" s="16">
        <v>4</v>
      </c>
      <c r="AU47" s="16">
        <v>1</v>
      </c>
      <c r="AV47" s="16">
        <v>3</v>
      </c>
      <c r="AW47" s="16">
        <v>3</v>
      </c>
      <c r="AX47" s="16">
        <v>3</v>
      </c>
      <c r="AY47" s="16">
        <v>1</v>
      </c>
      <c r="AZ47" s="16">
        <v>2</v>
      </c>
      <c r="BA47" s="18">
        <f t="shared" si="6"/>
        <v>26</v>
      </c>
      <c r="BB47" s="18">
        <f t="shared" si="7"/>
        <v>52</v>
      </c>
    </row>
    <row r="48" spans="1:54" ht="22.5" customHeight="1" x14ac:dyDescent="0.2">
      <c r="A48" s="9" t="s">
        <v>67</v>
      </c>
      <c r="B48" s="9" t="s">
        <v>68</v>
      </c>
      <c r="C48" s="9" t="s">
        <v>69</v>
      </c>
      <c r="D48" s="1" t="s">
        <v>57</v>
      </c>
      <c r="E48" s="9" t="s">
        <v>71</v>
      </c>
      <c r="F48" s="9" t="s">
        <v>60</v>
      </c>
      <c r="G48" s="9" t="s">
        <v>61</v>
      </c>
      <c r="H48" s="9" t="s">
        <v>57</v>
      </c>
      <c r="I48" s="9" t="s">
        <v>62</v>
      </c>
      <c r="J48" s="11">
        <v>1</v>
      </c>
      <c r="K48" s="11">
        <v>1</v>
      </c>
      <c r="L48" s="11">
        <v>2</v>
      </c>
      <c r="M48" s="11">
        <v>0.5</v>
      </c>
      <c r="N48" s="11">
        <v>1.5</v>
      </c>
      <c r="O48" s="11">
        <v>1</v>
      </c>
      <c r="P48" s="11">
        <v>1.5</v>
      </c>
      <c r="Q48" s="11">
        <v>1</v>
      </c>
      <c r="R48" s="11">
        <v>1.5</v>
      </c>
      <c r="S48" s="11">
        <v>1</v>
      </c>
      <c r="T48" s="13">
        <f t="shared" si="0"/>
        <v>12</v>
      </c>
      <c r="U48" s="13">
        <f t="shared" si="1"/>
        <v>66.666666666666657</v>
      </c>
      <c r="V48" s="12">
        <v>1</v>
      </c>
      <c r="W48" s="12">
        <v>1</v>
      </c>
      <c r="X48" s="12">
        <v>1</v>
      </c>
      <c r="Y48" s="12">
        <v>1</v>
      </c>
      <c r="Z48" s="12">
        <v>1</v>
      </c>
      <c r="AA48" s="12">
        <v>1</v>
      </c>
      <c r="AB48" s="12">
        <v>1</v>
      </c>
      <c r="AC48" s="12">
        <v>0</v>
      </c>
      <c r="AD48" s="15">
        <f t="shared" si="2"/>
        <v>7</v>
      </c>
      <c r="AE48" s="15">
        <f t="shared" si="3"/>
        <v>87.5</v>
      </c>
      <c r="AF48" s="14">
        <v>4</v>
      </c>
      <c r="AG48" s="14">
        <v>5</v>
      </c>
      <c r="AH48" s="14">
        <v>4</v>
      </c>
      <c r="AI48" s="14">
        <v>4</v>
      </c>
      <c r="AJ48" s="14">
        <v>4</v>
      </c>
      <c r="AK48" s="14">
        <v>5</v>
      </c>
      <c r="AL48" s="14">
        <v>4</v>
      </c>
      <c r="AM48" s="14">
        <v>5</v>
      </c>
      <c r="AN48" s="14">
        <v>4</v>
      </c>
      <c r="AO48" s="17">
        <f t="shared" si="4"/>
        <v>39</v>
      </c>
      <c r="AP48" s="17">
        <f t="shared" si="5"/>
        <v>86.666666666666671</v>
      </c>
      <c r="AQ48" s="16">
        <v>5</v>
      </c>
      <c r="AR48" s="16">
        <v>4</v>
      </c>
      <c r="AS48" s="16">
        <v>5</v>
      </c>
      <c r="AT48" s="16">
        <v>4</v>
      </c>
      <c r="AU48" s="16">
        <v>5</v>
      </c>
      <c r="AV48" s="16">
        <v>3</v>
      </c>
      <c r="AW48" s="16">
        <v>5</v>
      </c>
      <c r="AX48" s="16">
        <v>3</v>
      </c>
      <c r="AY48" s="16">
        <v>5</v>
      </c>
      <c r="AZ48" s="16">
        <v>4</v>
      </c>
      <c r="BA48" s="18">
        <f t="shared" si="6"/>
        <v>43</v>
      </c>
      <c r="BB48" s="18">
        <f t="shared" si="7"/>
        <v>86</v>
      </c>
    </row>
    <row r="49" spans="1:54" ht="22.5" customHeight="1" x14ac:dyDescent="0.2">
      <c r="A49" s="9" t="s">
        <v>52</v>
      </c>
      <c r="B49" s="9" t="s">
        <v>68</v>
      </c>
      <c r="C49" s="9" t="s">
        <v>69</v>
      </c>
      <c r="D49" s="1" t="s">
        <v>100</v>
      </c>
      <c r="E49" s="9" t="s">
        <v>59</v>
      </c>
      <c r="F49" s="9" t="s">
        <v>71</v>
      </c>
      <c r="G49" s="9" t="s">
        <v>61</v>
      </c>
      <c r="H49" s="9" t="s">
        <v>57</v>
      </c>
      <c r="I49" s="9" t="s">
        <v>62</v>
      </c>
      <c r="J49" s="11">
        <v>1</v>
      </c>
      <c r="K49" s="11">
        <v>1</v>
      </c>
      <c r="L49" s="11">
        <v>1</v>
      </c>
      <c r="M49" s="11">
        <v>1</v>
      </c>
      <c r="N49" s="11">
        <v>1</v>
      </c>
      <c r="O49" s="11">
        <v>1</v>
      </c>
      <c r="P49" s="11">
        <v>2</v>
      </c>
      <c r="Q49" s="11">
        <v>0</v>
      </c>
      <c r="R49" s="11">
        <v>1.5</v>
      </c>
      <c r="S49" s="11">
        <v>1.5</v>
      </c>
      <c r="T49" s="13">
        <f t="shared" si="0"/>
        <v>11</v>
      </c>
      <c r="U49" s="13">
        <f t="shared" si="1"/>
        <v>61.111111111111114</v>
      </c>
      <c r="V49" s="12">
        <v>1</v>
      </c>
      <c r="W49" s="12">
        <v>1</v>
      </c>
      <c r="X49" s="12">
        <v>1</v>
      </c>
      <c r="Y49" s="12">
        <v>1</v>
      </c>
      <c r="Z49" s="12">
        <v>1</v>
      </c>
      <c r="AA49" s="12">
        <v>1</v>
      </c>
      <c r="AB49" s="12">
        <v>1</v>
      </c>
      <c r="AC49" s="12">
        <v>1</v>
      </c>
      <c r="AD49" s="15">
        <f t="shared" si="2"/>
        <v>8</v>
      </c>
      <c r="AE49" s="15">
        <f t="shared" si="3"/>
        <v>100</v>
      </c>
      <c r="AF49" s="14">
        <v>4</v>
      </c>
      <c r="AG49" s="14">
        <v>4</v>
      </c>
      <c r="AH49" s="14">
        <v>5</v>
      </c>
      <c r="AI49" s="14">
        <v>4</v>
      </c>
      <c r="AJ49" s="14">
        <v>4</v>
      </c>
      <c r="AK49" s="14">
        <v>4</v>
      </c>
      <c r="AL49" s="14">
        <v>5</v>
      </c>
      <c r="AM49" s="14">
        <v>5</v>
      </c>
      <c r="AN49" s="14">
        <v>4</v>
      </c>
      <c r="AO49" s="17">
        <f t="shared" si="4"/>
        <v>39</v>
      </c>
      <c r="AP49" s="17">
        <f t="shared" si="5"/>
        <v>86.666666666666671</v>
      </c>
      <c r="AQ49" s="16">
        <v>4</v>
      </c>
      <c r="AR49" s="16">
        <v>3</v>
      </c>
      <c r="AS49" s="16">
        <v>5</v>
      </c>
      <c r="AT49" s="16">
        <v>5</v>
      </c>
      <c r="AU49" s="16">
        <v>5</v>
      </c>
      <c r="AV49" s="16">
        <v>4</v>
      </c>
      <c r="AW49" s="16">
        <v>3</v>
      </c>
      <c r="AX49" s="16">
        <v>2</v>
      </c>
      <c r="AY49" s="16">
        <v>5</v>
      </c>
      <c r="AZ49" s="16">
        <v>4</v>
      </c>
      <c r="BA49" s="18">
        <f t="shared" si="6"/>
        <v>40</v>
      </c>
      <c r="BB49" s="18">
        <f t="shared" si="7"/>
        <v>80</v>
      </c>
    </row>
    <row r="50" spans="1:54" ht="22.5" customHeight="1" x14ac:dyDescent="0.2">
      <c r="A50" s="9" t="s">
        <v>67</v>
      </c>
      <c r="B50" s="9" t="s">
        <v>68</v>
      </c>
      <c r="C50" s="9" t="s">
        <v>69</v>
      </c>
      <c r="D50" s="1" t="s">
        <v>100</v>
      </c>
      <c r="E50" s="9" t="s">
        <v>60</v>
      </c>
      <c r="F50" s="9" t="s">
        <v>85</v>
      </c>
      <c r="G50" s="9" t="s">
        <v>61</v>
      </c>
      <c r="H50" s="9" t="s">
        <v>57</v>
      </c>
      <c r="I50" s="9" t="s">
        <v>72</v>
      </c>
      <c r="J50" s="11">
        <v>1</v>
      </c>
      <c r="K50" s="11">
        <v>1</v>
      </c>
      <c r="L50" s="11">
        <v>2</v>
      </c>
      <c r="M50" s="11">
        <v>0.5</v>
      </c>
      <c r="N50" s="11">
        <v>1</v>
      </c>
      <c r="O50" s="11">
        <v>1</v>
      </c>
      <c r="P50" s="11">
        <v>0.5</v>
      </c>
      <c r="Q50" s="11">
        <v>1</v>
      </c>
      <c r="R50" s="11">
        <v>1.5</v>
      </c>
      <c r="S50" s="11">
        <v>0.5</v>
      </c>
      <c r="T50" s="13">
        <f t="shared" si="0"/>
        <v>10</v>
      </c>
      <c r="U50" s="13">
        <f t="shared" si="1"/>
        <v>55.555555555555557</v>
      </c>
      <c r="V50" s="12">
        <v>1</v>
      </c>
      <c r="W50" s="12">
        <v>1</v>
      </c>
      <c r="X50" s="12">
        <v>1</v>
      </c>
      <c r="Y50" s="12">
        <v>1</v>
      </c>
      <c r="Z50" s="12">
        <v>1</v>
      </c>
      <c r="AA50" s="12">
        <v>1</v>
      </c>
      <c r="AB50" s="12">
        <v>1</v>
      </c>
      <c r="AC50" s="12">
        <v>1</v>
      </c>
      <c r="AD50" s="15">
        <f t="shared" si="2"/>
        <v>8</v>
      </c>
      <c r="AE50" s="15">
        <f t="shared" si="3"/>
        <v>100</v>
      </c>
      <c r="AF50" s="14">
        <v>4</v>
      </c>
      <c r="AG50" s="14">
        <v>4</v>
      </c>
      <c r="AH50" s="14">
        <v>4</v>
      </c>
      <c r="AI50" s="14">
        <v>4</v>
      </c>
      <c r="AJ50" s="14">
        <v>4</v>
      </c>
      <c r="AK50" s="14">
        <v>4</v>
      </c>
      <c r="AL50" s="14">
        <v>4</v>
      </c>
      <c r="AM50" s="14">
        <v>5</v>
      </c>
      <c r="AN50" s="14">
        <v>5</v>
      </c>
      <c r="AO50" s="17">
        <f t="shared" si="4"/>
        <v>38</v>
      </c>
      <c r="AP50" s="17">
        <f t="shared" si="5"/>
        <v>84.444444444444443</v>
      </c>
      <c r="AQ50" s="16">
        <v>1</v>
      </c>
      <c r="AR50" s="16">
        <v>1</v>
      </c>
      <c r="AS50" s="16">
        <v>1</v>
      </c>
      <c r="AT50" s="16">
        <v>1</v>
      </c>
      <c r="AU50" s="16">
        <v>1</v>
      </c>
      <c r="AV50" s="16">
        <v>1</v>
      </c>
      <c r="AW50" s="16">
        <v>1</v>
      </c>
      <c r="AX50" s="16">
        <v>1</v>
      </c>
      <c r="AY50" s="16">
        <v>1</v>
      </c>
      <c r="AZ50" s="16">
        <v>1</v>
      </c>
      <c r="BA50" s="18">
        <f t="shared" si="6"/>
        <v>10</v>
      </c>
      <c r="BB50" s="18">
        <f t="shared" si="7"/>
        <v>20</v>
      </c>
    </row>
    <row r="51" spans="1:54" ht="22.5" customHeight="1" x14ac:dyDescent="0.2">
      <c r="A51" s="9" t="s">
        <v>74</v>
      </c>
      <c r="B51" s="9" t="s">
        <v>68</v>
      </c>
      <c r="C51" s="9" t="s">
        <v>55</v>
      </c>
      <c r="D51" s="1" t="s">
        <v>70</v>
      </c>
      <c r="E51" s="9" t="s">
        <v>71</v>
      </c>
      <c r="F51" s="9" t="s">
        <v>71</v>
      </c>
      <c r="G51" s="9" t="s">
        <v>61</v>
      </c>
      <c r="H51" s="9" t="s">
        <v>57</v>
      </c>
      <c r="I51" s="9" t="s">
        <v>62</v>
      </c>
      <c r="J51" s="11">
        <v>1</v>
      </c>
      <c r="K51" s="11">
        <v>1</v>
      </c>
      <c r="L51" s="11">
        <v>2</v>
      </c>
      <c r="M51" s="11">
        <v>1</v>
      </c>
      <c r="N51" s="11">
        <v>1.5</v>
      </c>
      <c r="O51" s="11">
        <v>0</v>
      </c>
      <c r="P51" s="11">
        <v>1</v>
      </c>
      <c r="Q51" s="11">
        <v>0</v>
      </c>
      <c r="R51" s="11">
        <v>1</v>
      </c>
      <c r="S51" s="11">
        <v>1.5</v>
      </c>
      <c r="T51" s="13">
        <f t="shared" si="0"/>
        <v>10</v>
      </c>
      <c r="U51" s="13">
        <f t="shared" si="1"/>
        <v>55.555555555555557</v>
      </c>
      <c r="V51" s="12">
        <v>1</v>
      </c>
      <c r="W51" s="12">
        <v>1</v>
      </c>
      <c r="X51" s="12">
        <v>0</v>
      </c>
      <c r="Y51" s="12">
        <v>0</v>
      </c>
      <c r="Z51" s="12">
        <v>1</v>
      </c>
      <c r="AA51" s="12">
        <v>0</v>
      </c>
      <c r="AB51" s="12">
        <v>0</v>
      </c>
      <c r="AC51" s="12">
        <v>0</v>
      </c>
      <c r="AD51" s="15">
        <f t="shared" si="2"/>
        <v>3</v>
      </c>
      <c r="AE51" s="15">
        <f t="shared" si="3"/>
        <v>37.5</v>
      </c>
      <c r="AF51" s="14">
        <v>3</v>
      </c>
      <c r="AG51" s="14">
        <v>4</v>
      </c>
      <c r="AH51" s="14">
        <v>4</v>
      </c>
      <c r="AI51" s="14">
        <v>2</v>
      </c>
      <c r="AJ51" s="14">
        <v>4</v>
      </c>
      <c r="AK51" s="14">
        <v>2</v>
      </c>
      <c r="AL51" s="14">
        <v>2</v>
      </c>
      <c r="AM51" s="14">
        <v>4</v>
      </c>
      <c r="AN51" s="14">
        <v>4</v>
      </c>
      <c r="AO51" s="17">
        <f t="shared" si="4"/>
        <v>29</v>
      </c>
      <c r="AP51" s="17">
        <f t="shared" si="5"/>
        <v>64.444444444444443</v>
      </c>
      <c r="AQ51" s="16">
        <v>1</v>
      </c>
      <c r="AR51" s="16">
        <v>1</v>
      </c>
      <c r="AS51" s="16">
        <v>1</v>
      </c>
      <c r="AT51" s="16">
        <v>1</v>
      </c>
      <c r="AU51" s="16">
        <v>1</v>
      </c>
      <c r="AV51" s="16">
        <v>1</v>
      </c>
      <c r="AW51" s="16">
        <v>1</v>
      </c>
      <c r="AX51" s="16">
        <v>1</v>
      </c>
      <c r="AY51" s="16">
        <v>1</v>
      </c>
      <c r="AZ51" s="16">
        <v>1</v>
      </c>
      <c r="BA51" s="18">
        <f t="shared" si="6"/>
        <v>10</v>
      </c>
      <c r="BB51" s="18">
        <f t="shared" si="7"/>
        <v>20</v>
      </c>
    </row>
    <row r="52" spans="1:54" ht="22.5" customHeight="1" x14ac:dyDescent="0.2">
      <c r="A52" s="9" t="s">
        <v>74</v>
      </c>
      <c r="B52" s="9" t="s">
        <v>54</v>
      </c>
      <c r="C52" s="9" t="s">
        <v>55</v>
      </c>
      <c r="D52" s="1" t="s">
        <v>100</v>
      </c>
      <c r="E52" s="9" t="s">
        <v>85</v>
      </c>
      <c r="F52" s="9" t="s">
        <v>60</v>
      </c>
      <c r="G52" s="9" t="s">
        <v>76</v>
      </c>
      <c r="H52" s="9" t="s">
        <v>99</v>
      </c>
      <c r="I52" s="9" t="s">
        <v>62</v>
      </c>
      <c r="J52" s="11">
        <v>0</v>
      </c>
      <c r="K52" s="11">
        <v>0</v>
      </c>
      <c r="L52" s="11">
        <v>0</v>
      </c>
      <c r="M52" s="11">
        <v>0</v>
      </c>
      <c r="N52" s="11">
        <v>0.5</v>
      </c>
      <c r="O52" s="11">
        <v>0</v>
      </c>
      <c r="P52" s="11">
        <v>0</v>
      </c>
      <c r="Q52" s="11">
        <v>0</v>
      </c>
      <c r="R52" s="11">
        <v>1.5</v>
      </c>
      <c r="S52" s="11">
        <v>0</v>
      </c>
      <c r="T52" s="13">
        <f t="shared" si="0"/>
        <v>2</v>
      </c>
      <c r="U52" s="13">
        <f t="shared" si="1"/>
        <v>11.111111111111111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5">
        <f t="shared" si="2"/>
        <v>0</v>
      </c>
      <c r="AE52" s="15">
        <f t="shared" si="3"/>
        <v>0</v>
      </c>
      <c r="AF52" s="14">
        <v>4</v>
      </c>
      <c r="AG52" s="14">
        <v>4</v>
      </c>
      <c r="AH52" s="14">
        <v>4</v>
      </c>
      <c r="AI52" s="14">
        <v>5</v>
      </c>
      <c r="AJ52" s="14">
        <v>4</v>
      </c>
      <c r="AK52" s="14">
        <v>4</v>
      </c>
      <c r="AL52" s="14">
        <v>4</v>
      </c>
      <c r="AM52" s="14">
        <v>4</v>
      </c>
      <c r="AN52" s="14">
        <v>5</v>
      </c>
      <c r="AO52" s="17">
        <f t="shared" si="4"/>
        <v>38</v>
      </c>
      <c r="AP52" s="17">
        <f t="shared" si="5"/>
        <v>84.444444444444443</v>
      </c>
      <c r="AQ52" s="16">
        <v>1</v>
      </c>
      <c r="AR52" s="16">
        <v>1</v>
      </c>
      <c r="AS52" s="16">
        <v>1</v>
      </c>
      <c r="AT52" s="16">
        <v>1</v>
      </c>
      <c r="AU52" s="16">
        <v>1</v>
      </c>
      <c r="AV52" s="16">
        <v>1</v>
      </c>
      <c r="AW52" s="16">
        <v>1</v>
      </c>
      <c r="AX52" s="16">
        <v>1</v>
      </c>
      <c r="AY52" s="16">
        <v>1</v>
      </c>
      <c r="AZ52" s="16">
        <v>1</v>
      </c>
      <c r="BA52" s="18">
        <f t="shared" si="6"/>
        <v>10</v>
      </c>
      <c r="BB52" s="18">
        <f t="shared" si="7"/>
        <v>20</v>
      </c>
    </row>
    <row r="53" spans="1:54" ht="22.5" customHeight="1" x14ac:dyDescent="0.2">
      <c r="A53" s="9" t="s">
        <v>93</v>
      </c>
      <c r="B53" s="9" t="s">
        <v>54</v>
      </c>
      <c r="C53" s="9" t="s">
        <v>55</v>
      </c>
      <c r="D53" s="1" t="s">
        <v>100</v>
      </c>
      <c r="E53" s="9" t="s">
        <v>92</v>
      </c>
      <c r="F53" s="9" t="s">
        <v>85</v>
      </c>
      <c r="G53" s="9" t="s">
        <v>95</v>
      </c>
      <c r="H53" s="9" t="s">
        <v>57</v>
      </c>
      <c r="I53" s="9" t="s">
        <v>81</v>
      </c>
      <c r="J53" s="11">
        <v>0</v>
      </c>
      <c r="K53" s="11">
        <v>0</v>
      </c>
      <c r="L53" s="11">
        <v>0</v>
      </c>
      <c r="M53" s="11">
        <v>0</v>
      </c>
      <c r="N53" s="11">
        <v>0.5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3">
        <f t="shared" si="0"/>
        <v>0.5</v>
      </c>
      <c r="U53" s="13">
        <f t="shared" si="1"/>
        <v>2.7777777777777777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5">
        <f t="shared" si="2"/>
        <v>0</v>
      </c>
      <c r="AE53" s="15">
        <f t="shared" si="3"/>
        <v>0</v>
      </c>
      <c r="AF53" s="14">
        <v>4</v>
      </c>
      <c r="AG53" s="14">
        <v>4</v>
      </c>
      <c r="AH53" s="14">
        <v>4</v>
      </c>
      <c r="AI53" s="14">
        <v>5</v>
      </c>
      <c r="AJ53" s="14">
        <v>4</v>
      </c>
      <c r="AK53" s="14">
        <v>4</v>
      </c>
      <c r="AL53" s="14">
        <v>4</v>
      </c>
      <c r="AM53" s="14">
        <v>4</v>
      </c>
      <c r="AN53" s="14">
        <v>4</v>
      </c>
      <c r="AO53" s="17">
        <f t="shared" si="4"/>
        <v>37</v>
      </c>
      <c r="AP53" s="17">
        <f t="shared" si="5"/>
        <v>82.222222222222214</v>
      </c>
      <c r="AQ53" s="16">
        <v>1</v>
      </c>
      <c r="AR53" s="16">
        <v>1</v>
      </c>
      <c r="AS53" s="16">
        <v>1</v>
      </c>
      <c r="AT53" s="16">
        <v>1</v>
      </c>
      <c r="AU53" s="16">
        <v>1</v>
      </c>
      <c r="AV53" s="16">
        <v>1</v>
      </c>
      <c r="AW53" s="16">
        <v>1</v>
      </c>
      <c r="AX53" s="16">
        <v>1</v>
      </c>
      <c r="AY53" s="16">
        <v>1</v>
      </c>
      <c r="AZ53" s="16">
        <v>1</v>
      </c>
      <c r="BA53" s="18">
        <f t="shared" si="6"/>
        <v>10</v>
      </c>
      <c r="BB53" s="18">
        <f t="shared" si="7"/>
        <v>20</v>
      </c>
    </row>
    <row r="54" spans="1:54" ht="22.5" customHeight="1" x14ac:dyDescent="0.2">
      <c r="A54" s="9" t="s">
        <v>52</v>
      </c>
      <c r="B54" s="9" t="s">
        <v>54</v>
      </c>
      <c r="C54" s="9" t="s">
        <v>55</v>
      </c>
      <c r="D54" s="1" t="s">
        <v>100</v>
      </c>
      <c r="E54" s="9" t="s">
        <v>92</v>
      </c>
      <c r="F54" s="9" t="s">
        <v>92</v>
      </c>
      <c r="G54" s="9" t="s">
        <v>95</v>
      </c>
      <c r="H54" s="9" t="s">
        <v>57</v>
      </c>
      <c r="I54" s="9" t="s">
        <v>81</v>
      </c>
      <c r="J54" s="11">
        <v>0</v>
      </c>
      <c r="K54" s="11">
        <v>0</v>
      </c>
      <c r="L54" s="11">
        <v>0</v>
      </c>
      <c r="M54" s="11">
        <v>0</v>
      </c>
      <c r="N54" s="11">
        <v>0.5</v>
      </c>
      <c r="O54" s="11">
        <v>0</v>
      </c>
      <c r="P54" s="11">
        <v>0</v>
      </c>
      <c r="Q54" s="11">
        <v>0</v>
      </c>
      <c r="R54" s="11">
        <v>1.5</v>
      </c>
      <c r="S54" s="11">
        <v>0</v>
      </c>
      <c r="T54" s="13">
        <f t="shared" si="0"/>
        <v>2</v>
      </c>
      <c r="U54" s="13">
        <f t="shared" si="1"/>
        <v>11.111111111111111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5">
        <f t="shared" si="2"/>
        <v>0</v>
      </c>
      <c r="AE54" s="15">
        <f t="shared" si="3"/>
        <v>0</v>
      </c>
      <c r="AF54" s="14">
        <v>4</v>
      </c>
      <c r="AG54" s="14">
        <v>4</v>
      </c>
      <c r="AH54" s="14">
        <v>4</v>
      </c>
      <c r="AI54" s="14">
        <v>4</v>
      </c>
      <c r="AJ54" s="14">
        <v>4</v>
      </c>
      <c r="AK54" s="14">
        <v>4</v>
      </c>
      <c r="AL54" s="14">
        <v>4</v>
      </c>
      <c r="AM54" s="14">
        <v>4</v>
      </c>
      <c r="AN54" s="14">
        <v>4</v>
      </c>
      <c r="AO54" s="17">
        <f t="shared" si="4"/>
        <v>36</v>
      </c>
      <c r="AP54" s="17">
        <f t="shared" si="5"/>
        <v>80</v>
      </c>
      <c r="AQ54" s="16">
        <v>1</v>
      </c>
      <c r="AR54" s="16">
        <v>1</v>
      </c>
      <c r="AS54" s="16">
        <v>1</v>
      </c>
      <c r="AT54" s="16">
        <v>1</v>
      </c>
      <c r="AU54" s="16">
        <v>1</v>
      </c>
      <c r="AV54" s="16">
        <v>1</v>
      </c>
      <c r="AW54" s="16">
        <v>1</v>
      </c>
      <c r="AX54" s="16">
        <v>1</v>
      </c>
      <c r="AY54" s="16">
        <v>1</v>
      </c>
      <c r="AZ54" s="16">
        <v>1</v>
      </c>
      <c r="BA54" s="18">
        <f t="shared" si="6"/>
        <v>10</v>
      </c>
      <c r="BB54" s="18">
        <f t="shared" si="7"/>
        <v>20</v>
      </c>
    </row>
    <row r="55" spans="1:54" ht="22.5" customHeight="1" x14ac:dyDescent="0.2">
      <c r="A55" s="9" t="s">
        <v>67</v>
      </c>
      <c r="B55" s="9" t="s">
        <v>54</v>
      </c>
      <c r="C55" s="9" t="s">
        <v>55</v>
      </c>
      <c r="D55" s="1" t="s">
        <v>100</v>
      </c>
      <c r="E55" s="9" t="s">
        <v>85</v>
      </c>
      <c r="F55" s="9" t="s">
        <v>85</v>
      </c>
      <c r="G55" s="9" t="s">
        <v>61</v>
      </c>
      <c r="H55" s="9" t="s">
        <v>57</v>
      </c>
      <c r="I55" s="9" t="s">
        <v>62</v>
      </c>
      <c r="J55" s="11">
        <v>0</v>
      </c>
      <c r="K55" s="11">
        <v>0</v>
      </c>
      <c r="L55" s="11">
        <v>0</v>
      </c>
      <c r="M55" s="11">
        <v>0</v>
      </c>
      <c r="N55" s="11">
        <v>0.5</v>
      </c>
      <c r="O55" s="11">
        <v>0</v>
      </c>
      <c r="P55" s="11">
        <v>0</v>
      </c>
      <c r="Q55" s="11">
        <v>0</v>
      </c>
      <c r="R55" s="11">
        <v>1.5</v>
      </c>
      <c r="S55" s="11">
        <v>0</v>
      </c>
      <c r="T55" s="13">
        <f t="shared" si="0"/>
        <v>2</v>
      </c>
      <c r="U55" s="13">
        <f t="shared" si="1"/>
        <v>11.111111111111111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5">
        <f t="shared" si="2"/>
        <v>0</v>
      </c>
      <c r="AE55" s="15">
        <f t="shared" si="3"/>
        <v>0</v>
      </c>
      <c r="AF55" s="14">
        <v>4</v>
      </c>
      <c r="AG55" s="14">
        <v>5</v>
      </c>
      <c r="AH55" s="14">
        <v>4</v>
      </c>
      <c r="AI55" s="14">
        <v>4</v>
      </c>
      <c r="AJ55" s="14">
        <v>4</v>
      </c>
      <c r="AK55" s="14">
        <v>5</v>
      </c>
      <c r="AL55" s="14">
        <v>4</v>
      </c>
      <c r="AM55" s="14">
        <v>4</v>
      </c>
      <c r="AN55" s="14">
        <v>4</v>
      </c>
      <c r="AO55" s="17">
        <f t="shared" si="4"/>
        <v>38</v>
      </c>
      <c r="AP55" s="17">
        <f t="shared" si="5"/>
        <v>84.444444444444443</v>
      </c>
      <c r="AQ55" s="16">
        <v>1</v>
      </c>
      <c r="AR55" s="16">
        <v>1</v>
      </c>
      <c r="AS55" s="16">
        <v>1</v>
      </c>
      <c r="AT55" s="16">
        <v>1</v>
      </c>
      <c r="AU55" s="16">
        <v>1</v>
      </c>
      <c r="AV55" s="16">
        <v>1</v>
      </c>
      <c r="AW55" s="16">
        <v>1</v>
      </c>
      <c r="AX55" s="16">
        <v>1</v>
      </c>
      <c r="AY55" s="16">
        <v>1</v>
      </c>
      <c r="AZ55" s="16">
        <v>1</v>
      </c>
      <c r="BA55" s="18">
        <f t="shared" si="6"/>
        <v>10</v>
      </c>
      <c r="BB55" s="18">
        <f t="shared" si="7"/>
        <v>20</v>
      </c>
    </row>
    <row r="56" spans="1:54" ht="22.5" customHeight="1" x14ac:dyDescent="0.2">
      <c r="A56" s="9" t="s">
        <v>67</v>
      </c>
      <c r="B56" s="9" t="s">
        <v>54</v>
      </c>
      <c r="C56" s="9" t="s">
        <v>69</v>
      </c>
      <c r="D56" s="1" t="s">
        <v>100</v>
      </c>
      <c r="E56" s="9" t="s">
        <v>60</v>
      </c>
      <c r="F56" s="9" t="s">
        <v>85</v>
      </c>
      <c r="G56" s="9" t="s">
        <v>61</v>
      </c>
      <c r="H56" s="9" t="s">
        <v>57</v>
      </c>
      <c r="I56" s="9" t="s">
        <v>62</v>
      </c>
      <c r="J56" s="11">
        <v>1</v>
      </c>
      <c r="K56" s="11">
        <v>1</v>
      </c>
      <c r="L56" s="11">
        <v>2</v>
      </c>
      <c r="M56" s="11">
        <v>1</v>
      </c>
      <c r="N56" s="11">
        <v>0.5</v>
      </c>
      <c r="O56" s="11">
        <v>1</v>
      </c>
      <c r="P56" s="11">
        <v>0.5</v>
      </c>
      <c r="Q56" s="11">
        <v>0</v>
      </c>
      <c r="R56" s="11">
        <v>1.5</v>
      </c>
      <c r="S56" s="11">
        <v>0.5</v>
      </c>
      <c r="T56" s="13">
        <f t="shared" si="0"/>
        <v>9</v>
      </c>
      <c r="U56" s="13">
        <f t="shared" si="1"/>
        <v>50</v>
      </c>
      <c r="V56" s="12">
        <v>1</v>
      </c>
      <c r="W56" s="12">
        <v>1</v>
      </c>
      <c r="X56" s="12">
        <v>1</v>
      </c>
      <c r="Y56" s="12">
        <v>1</v>
      </c>
      <c r="Z56" s="12">
        <v>1</v>
      </c>
      <c r="AA56" s="12">
        <v>1</v>
      </c>
      <c r="AB56" s="12">
        <v>1</v>
      </c>
      <c r="AC56" s="12">
        <v>1</v>
      </c>
      <c r="AD56" s="15">
        <f t="shared" si="2"/>
        <v>8</v>
      </c>
      <c r="AE56" s="15">
        <f t="shared" si="3"/>
        <v>100</v>
      </c>
      <c r="AF56" s="14">
        <v>4</v>
      </c>
      <c r="AG56" s="14">
        <v>4</v>
      </c>
      <c r="AH56" s="14">
        <v>4</v>
      </c>
      <c r="AI56" s="14">
        <v>5</v>
      </c>
      <c r="AJ56" s="14">
        <v>4</v>
      </c>
      <c r="AK56" s="14">
        <v>4</v>
      </c>
      <c r="AL56" s="14">
        <v>4</v>
      </c>
      <c r="AM56" s="14">
        <v>4</v>
      </c>
      <c r="AN56" s="14">
        <v>4</v>
      </c>
      <c r="AO56" s="17">
        <f t="shared" si="4"/>
        <v>37</v>
      </c>
      <c r="AP56" s="17">
        <f t="shared" si="5"/>
        <v>82.222222222222214</v>
      </c>
      <c r="AQ56" s="16">
        <v>2</v>
      </c>
      <c r="AR56" s="16">
        <v>3</v>
      </c>
      <c r="AS56" s="16">
        <v>3</v>
      </c>
      <c r="AT56" s="16">
        <v>3</v>
      </c>
      <c r="AU56" s="16">
        <v>5</v>
      </c>
      <c r="AV56" s="16">
        <v>1</v>
      </c>
      <c r="AW56" s="16">
        <v>1</v>
      </c>
      <c r="AX56" s="16">
        <v>3</v>
      </c>
      <c r="AY56" s="16">
        <v>5</v>
      </c>
      <c r="AZ56" s="16">
        <v>2</v>
      </c>
      <c r="BA56" s="18">
        <f t="shared" si="6"/>
        <v>28</v>
      </c>
      <c r="BB56" s="18">
        <f t="shared" si="7"/>
        <v>56.000000000000007</v>
      </c>
    </row>
    <row r="57" spans="1:54" ht="22.5" customHeight="1" x14ac:dyDescent="0.2">
      <c r="A57" s="9" t="s">
        <v>67</v>
      </c>
      <c r="B57" s="9" t="s">
        <v>54</v>
      </c>
      <c r="C57" s="9" t="s">
        <v>69</v>
      </c>
      <c r="D57" s="1" t="s">
        <v>84</v>
      </c>
      <c r="E57" s="9" t="s">
        <v>59</v>
      </c>
      <c r="F57" s="9" t="s">
        <v>71</v>
      </c>
      <c r="G57" s="9" t="s">
        <v>61</v>
      </c>
      <c r="H57" s="9" t="s">
        <v>57</v>
      </c>
      <c r="I57" s="9" t="s">
        <v>72</v>
      </c>
      <c r="J57" s="11">
        <v>1</v>
      </c>
      <c r="K57" s="11">
        <v>1</v>
      </c>
      <c r="L57" s="11">
        <v>1</v>
      </c>
      <c r="M57" s="11">
        <v>2</v>
      </c>
      <c r="N57" s="11">
        <v>1.5</v>
      </c>
      <c r="O57" s="11">
        <v>1</v>
      </c>
      <c r="P57" s="11">
        <v>0.5</v>
      </c>
      <c r="Q57" s="11">
        <v>0</v>
      </c>
      <c r="R57" s="11">
        <v>0.5</v>
      </c>
      <c r="S57" s="11">
        <v>0.5</v>
      </c>
      <c r="T57" s="13">
        <f t="shared" si="0"/>
        <v>9</v>
      </c>
      <c r="U57" s="13">
        <f t="shared" si="1"/>
        <v>50</v>
      </c>
      <c r="V57" s="12">
        <v>1</v>
      </c>
      <c r="W57" s="12">
        <v>1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5">
        <f t="shared" si="2"/>
        <v>2</v>
      </c>
      <c r="AE57" s="15">
        <f t="shared" si="3"/>
        <v>25</v>
      </c>
      <c r="AF57" s="14">
        <v>5</v>
      </c>
      <c r="AG57" s="14">
        <v>4</v>
      </c>
      <c r="AH57" s="14">
        <v>4</v>
      </c>
      <c r="AI57" s="14">
        <v>4</v>
      </c>
      <c r="AJ57" s="14">
        <v>4</v>
      </c>
      <c r="AK57" s="14">
        <v>4</v>
      </c>
      <c r="AL57" s="14">
        <v>4</v>
      </c>
      <c r="AM57" s="14">
        <v>4</v>
      </c>
      <c r="AN57" s="14">
        <v>4</v>
      </c>
      <c r="AO57" s="17">
        <f t="shared" si="4"/>
        <v>37</v>
      </c>
      <c r="AP57" s="17">
        <f t="shared" si="5"/>
        <v>82.222222222222214</v>
      </c>
      <c r="AQ57" s="16">
        <v>2</v>
      </c>
      <c r="AR57" s="16">
        <v>1</v>
      </c>
      <c r="AS57" s="16">
        <v>1</v>
      </c>
      <c r="AT57" s="16">
        <v>1</v>
      </c>
      <c r="AU57" s="16">
        <v>1</v>
      </c>
      <c r="AV57" s="16">
        <v>4</v>
      </c>
      <c r="AW57" s="16">
        <v>2</v>
      </c>
      <c r="AX57" s="16">
        <v>1</v>
      </c>
      <c r="AY57" s="16">
        <v>1</v>
      </c>
      <c r="AZ57" s="16">
        <v>1</v>
      </c>
      <c r="BA57" s="18">
        <f t="shared" si="6"/>
        <v>15</v>
      </c>
      <c r="BB57" s="18">
        <f t="shared" si="7"/>
        <v>30</v>
      </c>
    </row>
    <row r="58" spans="1:54" ht="22.5" customHeight="1" x14ac:dyDescent="0.2">
      <c r="A58" s="9" t="s">
        <v>74</v>
      </c>
      <c r="B58" s="9" t="s">
        <v>54</v>
      </c>
      <c r="C58" s="9" t="s">
        <v>55</v>
      </c>
      <c r="D58" s="1" t="s">
        <v>75</v>
      </c>
      <c r="E58" s="9" t="s">
        <v>92</v>
      </c>
      <c r="F58" s="9" t="s">
        <v>60</v>
      </c>
      <c r="G58" s="9" t="s">
        <v>76</v>
      </c>
      <c r="H58" s="9" t="s">
        <v>57</v>
      </c>
      <c r="I58" s="9" t="s">
        <v>81</v>
      </c>
      <c r="J58" s="11">
        <v>1</v>
      </c>
      <c r="K58" s="11">
        <v>0</v>
      </c>
      <c r="L58" s="11">
        <v>3</v>
      </c>
      <c r="M58" s="11">
        <v>1</v>
      </c>
      <c r="N58" s="11">
        <v>1</v>
      </c>
      <c r="O58" s="11">
        <v>1</v>
      </c>
      <c r="P58" s="11">
        <v>0.5</v>
      </c>
      <c r="Q58" s="11">
        <v>1</v>
      </c>
      <c r="R58" s="11">
        <v>2</v>
      </c>
      <c r="S58" s="11">
        <v>2</v>
      </c>
      <c r="T58" s="13">
        <f t="shared" si="0"/>
        <v>12.5</v>
      </c>
      <c r="U58" s="13">
        <f t="shared" si="1"/>
        <v>69.444444444444443</v>
      </c>
      <c r="V58" s="12">
        <v>1</v>
      </c>
      <c r="W58" s="12">
        <v>1</v>
      </c>
      <c r="X58" s="12">
        <v>1</v>
      </c>
      <c r="Y58" s="12">
        <v>1</v>
      </c>
      <c r="Z58" s="12">
        <v>1</v>
      </c>
      <c r="AA58" s="12">
        <v>1</v>
      </c>
      <c r="AB58" s="12">
        <v>1</v>
      </c>
      <c r="AC58" s="12">
        <v>1</v>
      </c>
      <c r="AD58" s="15">
        <f t="shared" si="2"/>
        <v>8</v>
      </c>
      <c r="AE58" s="15">
        <f t="shared" si="3"/>
        <v>100</v>
      </c>
      <c r="AF58" s="14">
        <v>4</v>
      </c>
      <c r="AG58" s="14">
        <v>5</v>
      </c>
      <c r="AH58" s="14">
        <v>5</v>
      </c>
      <c r="AI58" s="14">
        <v>5</v>
      </c>
      <c r="AJ58" s="14">
        <v>5</v>
      </c>
      <c r="AK58" s="14">
        <v>4</v>
      </c>
      <c r="AL58" s="14">
        <v>5</v>
      </c>
      <c r="AM58" s="14">
        <v>5</v>
      </c>
      <c r="AN58" s="14">
        <v>4</v>
      </c>
      <c r="AO58" s="17">
        <f t="shared" si="4"/>
        <v>42</v>
      </c>
      <c r="AP58" s="17">
        <f t="shared" si="5"/>
        <v>93.333333333333329</v>
      </c>
      <c r="AQ58" s="16">
        <v>5</v>
      </c>
      <c r="AR58" s="16">
        <v>5</v>
      </c>
      <c r="AS58" s="16">
        <v>5</v>
      </c>
      <c r="AT58" s="16">
        <v>5</v>
      </c>
      <c r="AU58" s="16">
        <v>5</v>
      </c>
      <c r="AV58" s="16">
        <v>5</v>
      </c>
      <c r="AW58" s="16">
        <v>5</v>
      </c>
      <c r="AX58" s="16">
        <v>5</v>
      </c>
      <c r="AY58" s="16">
        <v>5</v>
      </c>
      <c r="AZ58" s="16">
        <v>5</v>
      </c>
      <c r="BA58" s="18">
        <f t="shared" si="6"/>
        <v>50</v>
      </c>
      <c r="BB58" s="18">
        <f t="shared" si="7"/>
        <v>100</v>
      </c>
    </row>
    <row r="59" spans="1:54" ht="22.5" customHeight="1" x14ac:dyDescent="0.2">
      <c r="A59" s="9" t="s">
        <v>74</v>
      </c>
      <c r="B59" s="9" t="s">
        <v>68</v>
      </c>
      <c r="C59" s="9" t="s">
        <v>69</v>
      </c>
      <c r="D59" s="1" t="s">
        <v>57</v>
      </c>
      <c r="E59" s="9" t="s">
        <v>60</v>
      </c>
      <c r="F59" s="9" t="s">
        <v>60</v>
      </c>
      <c r="G59" s="9" t="s">
        <v>95</v>
      </c>
      <c r="H59" s="9" t="s">
        <v>97</v>
      </c>
      <c r="I59" s="9" t="s">
        <v>81</v>
      </c>
      <c r="J59" s="11">
        <v>1</v>
      </c>
      <c r="K59" s="11">
        <v>1</v>
      </c>
      <c r="L59" s="11">
        <v>1</v>
      </c>
      <c r="M59" s="11">
        <v>1</v>
      </c>
      <c r="N59" s="11">
        <v>0.5</v>
      </c>
      <c r="O59" s="11">
        <v>0</v>
      </c>
      <c r="P59" s="11">
        <v>2</v>
      </c>
      <c r="Q59" s="11">
        <v>1</v>
      </c>
      <c r="R59" s="11">
        <v>1.5</v>
      </c>
      <c r="S59" s="11">
        <v>1.5</v>
      </c>
      <c r="T59" s="13">
        <f t="shared" si="0"/>
        <v>10.5</v>
      </c>
      <c r="U59" s="13">
        <f t="shared" si="1"/>
        <v>58.333333333333336</v>
      </c>
      <c r="V59" s="12">
        <v>1</v>
      </c>
      <c r="W59" s="12">
        <v>0</v>
      </c>
      <c r="X59" s="12">
        <v>1</v>
      </c>
      <c r="Y59" s="12">
        <v>1</v>
      </c>
      <c r="Z59" s="12">
        <v>1</v>
      </c>
      <c r="AA59" s="12">
        <v>1</v>
      </c>
      <c r="AB59" s="12">
        <v>1</v>
      </c>
      <c r="AC59" s="12">
        <v>1</v>
      </c>
      <c r="AD59" s="15">
        <f t="shared" si="2"/>
        <v>7</v>
      </c>
      <c r="AE59" s="15">
        <f t="shared" si="3"/>
        <v>87.5</v>
      </c>
      <c r="AF59" s="14">
        <v>4</v>
      </c>
      <c r="AG59" s="14">
        <v>4</v>
      </c>
      <c r="AH59" s="14">
        <v>4</v>
      </c>
      <c r="AI59" s="14">
        <v>4</v>
      </c>
      <c r="AJ59" s="14">
        <v>5</v>
      </c>
      <c r="AK59" s="14">
        <v>3</v>
      </c>
      <c r="AL59" s="14">
        <v>5</v>
      </c>
      <c r="AM59" s="14">
        <v>3</v>
      </c>
      <c r="AN59" s="14">
        <v>1</v>
      </c>
      <c r="AO59" s="17">
        <f t="shared" si="4"/>
        <v>33</v>
      </c>
      <c r="AP59" s="17">
        <f t="shared" si="5"/>
        <v>73.333333333333329</v>
      </c>
      <c r="AQ59" s="16">
        <v>5</v>
      </c>
      <c r="AR59" s="16">
        <v>4</v>
      </c>
      <c r="AS59" s="16">
        <v>3</v>
      </c>
      <c r="AT59" s="16">
        <v>2</v>
      </c>
      <c r="AU59" s="16">
        <v>5</v>
      </c>
      <c r="AV59" s="16">
        <v>5</v>
      </c>
      <c r="AW59" s="16">
        <v>3</v>
      </c>
      <c r="AX59" s="16">
        <v>2</v>
      </c>
      <c r="AY59" s="16">
        <v>5</v>
      </c>
      <c r="AZ59" s="16">
        <v>5</v>
      </c>
      <c r="BA59" s="18">
        <f t="shared" si="6"/>
        <v>39</v>
      </c>
      <c r="BB59" s="18">
        <f t="shared" si="7"/>
        <v>78</v>
      </c>
    </row>
    <row r="60" spans="1:54" ht="22.5" customHeight="1" x14ac:dyDescent="0.2">
      <c r="A60" s="9" t="s">
        <v>74</v>
      </c>
      <c r="B60" s="9" t="s">
        <v>54</v>
      </c>
      <c r="C60" s="9" t="s">
        <v>55</v>
      </c>
      <c r="D60" s="1" t="s">
        <v>75</v>
      </c>
      <c r="E60" s="9" t="s">
        <v>60</v>
      </c>
      <c r="F60" s="9" t="s">
        <v>60</v>
      </c>
      <c r="G60" s="9" t="s">
        <v>76</v>
      </c>
      <c r="H60" s="9" t="s">
        <v>57</v>
      </c>
      <c r="I60" s="9" t="s">
        <v>62</v>
      </c>
      <c r="J60" s="11">
        <v>1</v>
      </c>
      <c r="K60" s="11">
        <v>0</v>
      </c>
      <c r="L60" s="11">
        <v>2</v>
      </c>
      <c r="M60" s="11">
        <v>1</v>
      </c>
      <c r="N60" s="11">
        <v>0.5</v>
      </c>
      <c r="O60" s="11">
        <v>1</v>
      </c>
      <c r="P60" s="11">
        <v>2</v>
      </c>
      <c r="Q60" s="11">
        <v>1</v>
      </c>
      <c r="R60" s="11">
        <v>2</v>
      </c>
      <c r="S60" s="11">
        <v>2</v>
      </c>
      <c r="T60" s="13">
        <f t="shared" si="0"/>
        <v>12.5</v>
      </c>
      <c r="U60" s="13">
        <f t="shared" si="1"/>
        <v>69.444444444444443</v>
      </c>
      <c r="V60" s="12">
        <v>1</v>
      </c>
      <c r="W60" s="12">
        <v>1</v>
      </c>
      <c r="X60" s="12">
        <v>1</v>
      </c>
      <c r="Y60" s="12">
        <v>1</v>
      </c>
      <c r="Z60" s="12">
        <v>1</v>
      </c>
      <c r="AA60" s="12">
        <v>1</v>
      </c>
      <c r="AB60" s="12">
        <v>1</v>
      </c>
      <c r="AC60" s="12">
        <v>1</v>
      </c>
      <c r="AD60" s="15">
        <f t="shared" si="2"/>
        <v>8</v>
      </c>
      <c r="AE60" s="15">
        <f t="shared" si="3"/>
        <v>100</v>
      </c>
      <c r="AF60" s="14">
        <v>5</v>
      </c>
      <c r="AG60" s="14">
        <v>5</v>
      </c>
      <c r="AH60" s="14">
        <v>4</v>
      </c>
      <c r="AI60" s="14">
        <v>5</v>
      </c>
      <c r="AJ60" s="14">
        <v>4</v>
      </c>
      <c r="AK60" s="14">
        <v>5</v>
      </c>
      <c r="AL60" s="14">
        <v>4</v>
      </c>
      <c r="AM60" s="14">
        <v>4</v>
      </c>
      <c r="AN60" s="14">
        <v>4</v>
      </c>
      <c r="AO60" s="17">
        <f t="shared" si="4"/>
        <v>40</v>
      </c>
      <c r="AP60" s="17">
        <f t="shared" si="5"/>
        <v>88.888888888888886</v>
      </c>
      <c r="AQ60" s="16">
        <v>5</v>
      </c>
      <c r="AR60" s="16">
        <v>5</v>
      </c>
      <c r="AS60" s="16">
        <v>5</v>
      </c>
      <c r="AT60" s="16">
        <v>4</v>
      </c>
      <c r="AU60" s="16">
        <v>5</v>
      </c>
      <c r="AV60" s="16">
        <v>5</v>
      </c>
      <c r="AW60" s="16">
        <v>5</v>
      </c>
      <c r="AX60" s="16">
        <v>5</v>
      </c>
      <c r="AY60" s="16">
        <v>5</v>
      </c>
      <c r="AZ60" s="16">
        <v>5</v>
      </c>
      <c r="BA60" s="18">
        <f t="shared" si="6"/>
        <v>49</v>
      </c>
      <c r="BB60" s="18">
        <f t="shared" si="7"/>
        <v>98</v>
      </c>
    </row>
    <row r="61" spans="1:54" ht="22.5" customHeight="1" x14ac:dyDescent="0.2">
      <c r="A61" s="9" t="s">
        <v>52</v>
      </c>
      <c r="B61" s="9" t="s">
        <v>54</v>
      </c>
      <c r="C61" s="9" t="s">
        <v>55</v>
      </c>
      <c r="D61" s="1" t="s">
        <v>57</v>
      </c>
      <c r="E61" s="9" t="s">
        <v>60</v>
      </c>
      <c r="F61" s="9" t="s">
        <v>71</v>
      </c>
      <c r="G61" s="9" t="s">
        <v>61</v>
      </c>
      <c r="H61" s="9" t="s">
        <v>99</v>
      </c>
      <c r="I61" s="9" t="s">
        <v>72</v>
      </c>
      <c r="J61" s="11">
        <v>1</v>
      </c>
      <c r="K61" s="11">
        <v>1</v>
      </c>
      <c r="L61" s="11">
        <v>1</v>
      </c>
      <c r="M61" s="11">
        <v>2</v>
      </c>
      <c r="N61" s="11">
        <v>1.5</v>
      </c>
      <c r="O61" s="11">
        <v>1</v>
      </c>
      <c r="P61" s="11">
        <v>1</v>
      </c>
      <c r="Q61" s="11">
        <v>0</v>
      </c>
      <c r="R61" s="11">
        <v>2</v>
      </c>
      <c r="S61" s="11">
        <v>1.5</v>
      </c>
      <c r="T61" s="13">
        <f t="shared" si="0"/>
        <v>12</v>
      </c>
      <c r="U61" s="13">
        <f t="shared" si="1"/>
        <v>66.666666666666657</v>
      </c>
      <c r="V61" s="12">
        <v>1</v>
      </c>
      <c r="W61" s="12">
        <v>0</v>
      </c>
      <c r="X61" s="12">
        <v>1</v>
      </c>
      <c r="Y61" s="12">
        <v>1</v>
      </c>
      <c r="Z61" s="12">
        <v>0</v>
      </c>
      <c r="AA61" s="12">
        <v>1</v>
      </c>
      <c r="AB61" s="12">
        <v>1</v>
      </c>
      <c r="AC61" s="12">
        <v>1</v>
      </c>
      <c r="AD61" s="15">
        <f t="shared" si="2"/>
        <v>6</v>
      </c>
      <c r="AE61" s="15">
        <f t="shared" si="3"/>
        <v>75</v>
      </c>
      <c r="AF61" s="14">
        <v>5</v>
      </c>
      <c r="AG61" s="14">
        <v>4</v>
      </c>
      <c r="AH61" s="14">
        <v>4</v>
      </c>
      <c r="AI61" s="14">
        <v>3</v>
      </c>
      <c r="AJ61" s="14">
        <v>5</v>
      </c>
      <c r="AK61" s="14">
        <v>4</v>
      </c>
      <c r="AL61" s="14">
        <v>4</v>
      </c>
      <c r="AM61" s="14">
        <v>5</v>
      </c>
      <c r="AN61" s="14">
        <v>4</v>
      </c>
      <c r="AO61" s="17">
        <f t="shared" si="4"/>
        <v>38</v>
      </c>
      <c r="AP61" s="17">
        <f t="shared" si="5"/>
        <v>84.444444444444443</v>
      </c>
      <c r="AQ61" s="16">
        <v>5</v>
      </c>
      <c r="AR61" s="16">
        <v>4</v>
      </c>
      <c r="AS61" s="16">
        <v>3</v>
      </c>
      <c r="AT61" s="16">
        <v>5</v>
      </c>
      <c r="AU61" s="16">
        <v>5</v>
      </c>
      <c r="AV61" s="16">
        <v>3</v>
      </c>
      <c r="AW61" s="16">
        <v>4</v>
      </c>
      <c r="AX61" s="16">
        <v>5</v>
      </c>
      <c r="AY61" s="16">
        <v>1</v>
      </c>
      <c r="AZ61" s="16">
        <v>4</v>
      </c>
      <c r="BA61" s="18">
        <f t="shared" si="6"/>
        <v>39</v>
      </c>
      <c r="BB61" s="18">
        <f t="shared" si="7"/>
        <v>78</v>
      </c>
    </row>
    <row r="62" spans="1:54" ht="22.5" customHeight="1" x14ac:dyDescent="0.2">
      <c r="A62" s="9" t="s">
        <v>52</v>
      </c>
      <c r="B62" s="9" t="s">
        <v>68</v>
      </c>
      <c r="C62" s="9" t="s">
        <v>69</v>
      </c>
      <c r="D62" s="1" t="s">
        <v>57</v>
      </c>
      <c r="E62" s="9" t="s">
        <v>71</v>
      </c>
      <c r="F62" s="9" t="s">
        <v>60</v>
      </c>
      <c r="G62" s="9" t="s">
        <v>76</v>
      </c>
      <c r="H62" s="9" t="s">
        <v>57</v>
      </c>
      <c r="I62" s="9" t="s">
        <v>96</v>
      </c>
      <c r="J62" s="11">
        <v>1</v>
      </c>
      <c r="K62" s="11">
        <v>0</v>
      </c>
      <c r="L62" s="11">
        <v>1</v>
      </c>
      <c r="M62" s="11">
        <v>1</v>
      </c>
      <c r="N62" s="11">
        <v>0.5</v>
      </c>
      <c r="O62" s="11">
        <v>1</v>
      </c>
      <c r="P62" s="11">
        <v>1</v>
      </c>
      <c r="Q62" s="11">
        <v>1</v>
      </c>
      <c r="R62" s="11">
        <v>1.5</v>
      </c>
      <c r="S62" s="11">
        <v>1.5</v>
      </c>
      <c r="T62" s="13">
        <f t="shared" si="0"/>
        <v>9.5</v>
      </c>
      <c r="U62" s="13">
        <f t="shared" si="1"/>
        <v>52.777777777777779</v>
      </c>
      <c r="V62" s="12">
        <v>1</v>
      </c>
      <c r="W62" s="12">
        <v>0</v>
      </c>
      <c r="X62" s="12">
        <v>1</v>
      </c>
      <c r="Y62" s="12">
        <v>1</v>
      </c>
      <c r="Z62" s="12">
        <v>0</v>
      </c>
      <c r="AA62" s="12">
        <v>1</v>
      </c>
      <c r="AB62" s="12">
        <v>1</v>
      </c>
      <c r="AC62" s="12">
        <v>1</v>
      </c>
      <c r="AD62" s="15">
        <f t="shared" si="2"/>
        <v>6</v>
      </c>
      <c r="AE62" s="15">
        <f t="shared" si="3"/>
        <v>75</v>
      </c>
      <c r="AF62" s="14">
        <v>4</v>
      </c>
      <c r="AG62" s="14">
        <v>5</v>
      </c>
      <c r="AH62" s="14">
        <v>3</v>
      </c>
      <c r="AI62" s="14">
        <v>5</v>
      </c>
      <c r="AJ62" s="14">
        <v>4</v>
      </c>
      <c r="AK62" s="14">
        <v>3</v>
      </c>
      <c r="AL62" s="14">
        <v>5</v>
      </c>
      <c r="AM62" s="14">
        <v>4</v>
      </c>
      <c r="AN62" s="14">
        <v>4</v>
      </c>
      <c r="AO62" s="17">
        <f t="shared" si="4"/>
        <v>37</v>
      </c>
      <c r="AP62" s="17">
        <f t="shared" si="5"/>
        <v>82.222222222222214</v>
      </c>
      <c r="AQ62" s="16">
        <v>4</v>
      </c>
      <c r="AR62" s="16">
        <v>5</v>
      </c>
      <c r="AS62" s="16">
        <v>4</v>
      </c>
      <c r="AT62" s="16">
        <v>3</v>
      </c>
      <c r="AU62" s="16">
        <v>5</v>
      </c>
      <c r="AV62" s="16">
        <v>3</v>
      </c>
      <c r="AW62" s="16">
        <v>5</v>
      </c>
      <c r="AX62" s="16">
        <v>3</v>
      </c>
      <c r="AY62" s="16">
        <v>5</v>
      </c>
      <c r="AZ62" s="16">
        <v>3</v>
      </c>
      <c r="BA62" s="18">
        <f t="shared" si="6"/>
        <v>40</v>
      </c>
      <c r="BB62" s="18">
        <f t="shared" si="7"/>
        <v>80</v>
      </c>
    </row>
    <row r="63" spans="1:54" ht="22.5" customHeight="1" x14ac:dyDescent="0.2">
      <c r="A63" s="9" t="s">
        <v>74</v>
      </c>
      <c r="B63" s="9" t="s">
        <v>68</v>
      </c>
      <c r="C63" s="9" t="s">
        <v>69</v>
      </c>
      <c r="D63" s="1" t="s">
        <v>57</v>
      </c>
      <c r="E63" s="9" t="s">
        <v>59</v>
      </c>
      <c r="F63" s="9" t="s">
        <v>71</v>
      </c>
      <c r="G63" s="9" t="s">
        <v>95</v>
      </c>
      <c r="H63" s="9" t="s">
        <v>86</v>
      </c>
      <c r="I63" s="9" t="s">
        <v>62</v>
      </c>
      <c r="J63" s="11">
        <v>1</v>
      </c>
      <c r="K63" s="11">
        <v>1</v>
      </c>
      <c r="L63" s="11">
        <v>2</v>
      </c>
      <c r="M63" s="11">
        <v>1</v>
      </c>
      <c r="N63" s="11">
        <v>1.5</v>
      </c>
      <c r="O63" s="11">
        <v>1</v>
      </c>
      <c r="P63" s="11">
        <v>1.5</v>
      </c>
      <c r="Q63" s="11">
        <v>1</v>
      </c>
      <c r="R63" s="11">
        <v>1</v>
      </c>
      <c r="S63" s="11">
        <v>2</v>
      </c>
      <c r="T63" s="13">
        <f t="shared" si="0"/>
        <v>13</v>
      </c>
      <c r="U63" s="13">
        <f t="shared" si="1"/>
        <v>72.222222222222214</v>
      </c>
      <c r="V63" s="12">
        <v>1</v>
      </c>
      <c r="W63" s="12">
        <v>1</v>
      </c>
      <c r="X63" s="12">
        <v>1</v>
      </c>
      <c r="Y63" s="12">
        <v>1</v>
      </c>
      <c r="Z63" s="12">
        <v>0</v>
      </c>
      <c r="AA63" s="12">
        <v>1</v>
      </c>
      <c r="AB63" s="12">
        <v>0</v>
      </c>
      <c r="AC63" s="12">
        <v>0</v>
      </c>
      <c r="AD63" s="15">
        <f t="shared" si="2"/>
        <v>5</v>
      </c>
      <c r="AE63" s="15">
        <f t="shared" si="3"/>
        <v>62.5</v>
      </c>
      <c r="AF63" s="14">
        <v>4</v>
      </c>
      <c r="AG63" s="14">
        <v>4</v>
      </c>
      <c r="AH63" s="14">
        <v>5</v>
      </c>
      <c r="AI63" s="14">
        <v>4</v>
      </c>
      <c r="AJ63" s="14">
        <v>3</v>
      </c>
      <c r="AK63" s="14">
        <v>5</v>
      </c>
      <c r="AL63" s="14">
        <v>4</v>
      </c>
      <c r="AM63" s="14">
        <v>4</v>
      </c>
      <c r="AN63" s="14">
        <v>5</v>
      </c>
      <c r="AO63" s="17">
        <f t="shared" si="4"/>
        <v>38</v>
      </c>
      <c r="AP63" s="17">
        <f t="shared" si="5"/>
        <v>84.444444444444443</v>
      </c>
      <c r="AQ63" s="16">
        <v>5</v>
      </c>
      <c r="AR63" s="16">
        <v>4</v>
      </c>
      <c r="AS63" s="16">
        <v>3</v>
      </c>
      <c r="AT63" s="16">
        <v>4</v>
      </c>
      <c r="AU63" s="16">
        <v>5</v>
      </c>
      <c r="AV63" s="16">
        <v>5</v>
      </c>
      <c r="AW63" s="16">
        <v>4</v>
      </c>
      <c r="AX63" s="16">
        <v>3</v>
      </c>
      <c r="AY63" s="16">
        <v>5</v>
      </c>
      <c r="AZ63" s="16">
        <v>4</v>
      </c>
      <c r="BA63" s="18">
        <f t="shared" si="6"/>
        <v>42</v>
      </c>
      <c r="BB63" s="18">
        <f t="shared" si="7"/>
        <v>84</v>
      </c>
    </row>
    <row r="64" spans="1:54" ht="22.5" customHeight="1" x14ac:dyDescent="0.2">
      <c r="A64" s="9" t="s">
        <v>74</v>
      </c>
      <c r="B64" s="9" t="s">
        <v>68</v>
      </c>
      <c r="C64" s="9" t="s">
        <v>55</v>
      </c>
      <c r="D64" s="1" t="s">
        <v>70</v>
      </c>
      <c r="E64" s="9" t="s">
        <v>60</v>
      </c>
      <c r="F64" s="9" t="s">
        <v>60</v>
      </c>
      <c r="G64" s="9" t="s">
        <v>95</v>
      </c>
      <c r="H64" s="9" t="s">
        <v>86</v>
      </c>
      <c r="I64" s="9" t="s">
        <v>72</v>
      </c>
      <c r="J64" s="11">
        <v>1</v>
      </c>
      <c r="K64" s="11">
        <v>1</v>
      </c>
      <c r="L64" s="11">
        <v>2</v>
      </c>
      <c r="M64" s="11">
        <v>2</v>
      </c>
      <c r="N64" s="11">
        <v>2</v>
      </c>
      <c r="O64" s="11">
        <v>1</v>
      </c>
      <c r="P64" s="11">
        <v>1.5</v>
      </c>
      <c r="Q64" s="11">
        <v>1</v>
      </c>
      <c r="R64" s="11">
        <v>1.5</v>
      </c>
      <c r="S64" s="11">
        <v>1</v>
      </c>
      <c r="T64" s="13">
        <f t="shared" si="0"/>
        <v>14</v>
      </c>
      <c r="U64" s="13">
        <f t="shared" si="1"/>
        <v>77.777777777777786</v>
      </c>
      <c r="V64" s="12">
        <v>1</v>
      </c>
      <c r="W64" s="12">
        <v>1</v>
      </c>
      <c r="X64" s="12">
        <v>1</v>
      </c>
      <c r="Y64" s="12">
        <v>0</v>
      </c>
      <c r="Z64" s="12">
        <v>1</v>
      </c>
      <c r="AA64" s="12">
        <v>0</v>
      </c>
      <c r="AB64" s="12">
        <v>1</v>
      </c>
      <c r="AC64" s="12">
        <v>1</v>
      </c>
      <c r="AD64" s="15">
        <f t="shared" si="2"/>
        <v>6</v>
      </c>
      <c r="AE64" s="15">
        <f t="shared" si="3"/>
        <v>75</v>
      </c>
      <c r="AF64" s="14">
        <v>4</v>
      </c>
      <c r="AG64" s="14">
        <v>5</v>
      </c>
      <c r="AH64" s="14">
        <v>5</v>
      </c>
      <c r="AI64" s="14">
        <v>4</v>
      </c>
      <c r="AJ64" s="14">
        <v>4</v>
      </c>
      <c r="AK64" s="14">
        <v>4</v>
      </c>
      <c r="AL64" s="14">
        <v>3</v>
      </c>
      <c r="AM64" s="14">
        <v>4</v>
      </c>
      <c r="AN64" s="14">
        <v>5</v>
      </c>
      <c r="AO64" s="17">
        <f t="shared" si="4"/>
        <v>38</v>
      </c>
      <c r="AP64" s="17">
        <f t="shared" si="5"/>
        <v>84.444444444444443</v>
      </c>
      <c r="AQ64" s="16">
        <v>5</v>
      </c>
      <c r="AR64" s="16">
        <v>5</v>
      </c>
      <c r="AS64" s="16">
        <v>4</v>
      </c>
      <c r="AT64" s="16">
        <v>3</v>
      </c>
      <c r="AU64" s="16">
        <v>5</v>
      </c>
      <c r="AV64" s="16">
        <v>3</v>
      </c>
      <c r="AW64" s="16">
        <v>4</v>
      </c>
      <c r="AX64" s="16">
        <v>5</v>
      </c>
      <c r="AY64" s="16">
        <v>5</v>
      </c>
      <c r="AZ64" s="16">
        <v>4</v>
      </c>
      <c r="BA64" s="18">
        <f t="shared" si="6"/>
        <v>43</v>
      </c>
      <c r="BB64" s="18">
        <f t="shared" si="7"/>
        <v>86</v>
      </c>
    </row>
    <row r="65" spans="1:54" ht="22.5" customHeight="1" x14ac:dyDescent="0.2">
      <c r="A65" s="9" t="s">
        <v>67</v>
      </c>
      <c r="B65" s="9" t="s">
        <v>54</v>
      </c>
      <c r="C65" s="9" t="s">
        <v>69</v>
      </c>
      <c r="D65" s="1" t="s">
        <v>102</v>
      </c>
      <c r="E65" s="9" t="s">
        <v>85</v>
      </c>
      <c r="F65" s="9" t="s">
        <v>92</v>
      </c>
      <c r="G65" s="9" t="s">
        <v>95</v>
      </c>
      <c r="H65" s="9" t="s">
        <v>97</v>
      </c>
      <c r="I65" s="9" t="s">
        <v>81</v>
      </c>
      <c r="J65" s="11">
        <v>1</v>
      </c>
      <c r="K65" s="11">
        <v>0</v>
      </c>
      <c r="L65" s="11">
        <v>1</v>
      </c>
      <c r="M65" s="11">
        <v>1</v>
      </c>
      <c r="N65" s="11">
        <v>0.5</v>
      </c>
      <c r="O65" s="11">
        <v>1</v>
      </c>
      <c r="P65" s="11">
        <v>1.5</v>
      </c>
      <c r="Q65" s="11">
        <v>1</v>
      </c>
      <c r="R65" s="11">
        <v>1.5</v>
      </c>
      <c r="S65" s="11">
        <v>1.5</v>
      </c>
      <c r="T65" s="13">
        <f t="shared" si="0"/>
        <v>10</v>
      </c>
      <c r="U65" s="13">
        <f t="shared" si="1"/>
        <v>55.555555555555557</v>
      </c>
      <c r="V65" s="12">
        <v>1</v>
      </c>
      <c r="W65" s="12">
        <v>0</v>
      </c>
      <c r="X65" s="12">
        <v>1</v>
      </c>
      <c r="Y65" s="12">
        <v>1</v>
      </c>
      <c r="Z65" s="12">
        <v>1</v>
      </c>
      <c r="AA65" s="12">
        <v>0</v>
      </c>
      <c r="AB65" s="12">
        <v>1</v>
      </c>
      <c r="AC65" s="12">
        <v>1</v>
      </c>
      <c r="AD65" s="15">
        <f t="shared" si="2"/>
        <v>6</v>
      </c>
      <c r="AE65" s="15">
        <f t="shared" si="3"/>
        <v>75</v>
      </c>
      <c r="AF65" s="14">
        <v>4</v>
      </c>
      <c r="AG65" s="14">
        <v>4</v>
      </c>
      <c r="AH65" s="14">
        <v>5</v>
      </c>
      <c r="AI65" s="14">
        <v>4</v>
      </c>
      <c r="AJ65" s="14">
        <v>4</v>
      </c>
      <c r="AK65" s="14">
        <v>5</v>
      </c>
      <c r="AL65" s="14">
        <v>4</v>
      </c>
      <c r="AM65" s="14">
        <v>4</v>
      </c>
      <c r="AN65" s="14">
        <v>5</v>
      </c>
      <c r="AO65" s="17">
        <f t="shared" si="4"/>
        <v>39</v>
      </c>
      <c r="AP65" s="17">
        <f t="shared" si="5"/>
        <v>86.666666666666671</v>
      </c>
      <c r="AQ65" s="16">
        <v>4</v>
      </c>
      <c r="AR65" s="16">
        <v>5</v>
      </c>
      <c r="AS65" s="16">
        <v>4</v>
      </c>
      <c r="AT65" s="16">
        <v>5</v>
      </c>
      <c r="AU65" s="16">
        <v>5</v>
      </c>
      <c r="AV65" s="16">
        <v>3</v>
      </c>
      <c r="AW65" s="16">
        <v>3</v>
      </c>
      <c r="AX65" s="16">
        <v>4</v>
      </c>
      <c r="AY65" s="16">
        <v>5</v>
      </c>
      <c r="AZ65" s="16">
        <v>2</v>
      </c>
      <c r="BA65" s="18">
        <f t="shared" si="6"/>
        <v>40</v>
      </c>
      <c r="BB65" s="18">
        <f t="shared" si="7"/>
        <v>80</v>
      </c>
    </row>
    <row r="66" spans="1:54" ht="22.5" customHeight="1" x14ac:dyDescent="0.2">
      <c r="A66" s="9" t="s">
        <v>74</v>
      </c>
      <c r="B66" s="9" t="s">
        <v>54</v>
      </c>
      <c r="C66" s="9" t="s">
        <v>55</v>
      </c>
      <c r="D66" s="1" t="s">
        <v>57</v>
      </c>
      <c r="E66" s="9" t="s">
        <v>71</v>
      </c>
      <c r="F66" s="9" t="s">
        <v>60</v>
      </c>
      <c r="G66" s="9" t="s">
        <v>61</v>
      </c>
      <c r="H66" s="9" t="s">
        <v>57</v>
      </c>
      <c r="I66" s="9" t="s">
        <v>72</v>
      </c>
      <c r="J66" s="11">
        <v>1</v>
      </c>
      <c r="K66" s="11">
        <v>1</v>
      </c>
      <c r="L66" s="11">
        <v>1</v>
      </c>
      <c r="M66" s="11">
        <v>2</v>
      </c>
      <c r="N66" s="11">
        <v>1.5</v>
      </c>
      <c r="O66" s="11">
        <v>1</v>
      </c>
      <c r="P66" s="11">
        <v>1.5</v>
      </c>
      <c r="Q66" s="11">
        <v>1</v>
      </c>
      <c r="R66" s="11">
        <v>1.5</v>
      </c>
      <c r="S66" s="11">
        <v>1</v>
      </c>
      <c r="T66" s="13">
        <f t="shared" si="0"/>
        <v>12.5</v>
      </c>
      <c r="U66" s="13">
        <f t="shared" si="1"/>
        <v>69.444444444444443</v>
      </c>
      <c r="V66" s="12">
        <v>1</v>
      </c>
      <c r="W66" s="12">
        <v>1</v>
      </c>
      <c r="X66" s="12">
        <v>0</v>
      </c>
      <c r="Y66" s="12">
        <v>1</v>
      </c>
      <c r="Z66" s="12">
        <v>1</v>
      </c>
      <c r="AA66" s="12">
        <v>1</v>
      </c>
      <c r="AB66" s="12">
        <v>0</v>
      </c>
      <c r="AC66" s="12">
        <v>0</v>
      </c>
      <c r="AD66" s="15">
        <f t="shared" si="2"/>
        <v>5</v>
      </c>
      <c r="AE66" s="15">
        <f t="shared" si="3"/>
        <v>62.5</v>
      </c>
      <c r="AF66" s="14">
        <v>4</v>
      </c>
      <c r="AG66" s="14">
        <v>4</v>
      </c>
      <c r="AH66" s="14">
        <v>3</v>
      </c>
      <c r="AI66" s="14">
        <v>5</v>
      </c>
      <c r="AJ66" s="14">
        <v>4</v>
      </c>
      <c r="AK66" s="14">
        <v>3</v>
      </c>
      <c r="AL66" s="14">
        <v>4</v>
      </c>
      <c r="AM66" s="14">
        <v>3</v>
      </c>
      <c r="AN66" s="14">
        <v>4</v>
      </c>
      <c r="AO66" s="17">
        <f t="shared" si="4"/>
        <v>34</v>
      </c>
      <c r="AP66" s="17">
        <f t="shared" si="5"/>
        <v>75.555555555555557</v>
      </c>
      <c r="AQ66" s="16">
        <v>4</v>
      </c>
      <c r="AR66" s="16">
        <v>5</v>
      </c>
      <c r="AS66" s="16">
        <v>4</v>
      </c>
      <c r="AT66" s="16">
        <v>3</v>
      </c>
      <c r="AU66" s="16">
        <v>5</v>
      </c>
      <c r="AV66" s="16">
        <v>3</v>
      </c>
      <c r="AW66" s="16">
        <v>4</v>
      </c>
      <c r="AX66" s="16">
        <v>5</v>
      </c>
      <c r="AY66" s="16">
        <v>5</v>
      </c>
      <c r="AZ66" s="16">
        <v>3</v>
      </c>
      <c r="BA66" s="18">
        <f t="shared" si="6"/>
        <v>41</v>
      </c>
      <c r="BB66" s="18">
        <f t="shared" si="7"/>
        <v>82</v>
      </c>
    </row>
    <row r="67" spans="1:54" ht="22.5" customHeight="1" x14ac:dyDescent="0.2">
      <c r="A67" s="9" t="s">
        <v>74</v>
      </c>
      <c r="B67" s="9" t="s">
        <v>68</v>
      </c>
      <c r="C67" s="9" t="s">
        <v>55</v>
      </c>
      <c r="D67" s="1" t="s">
        <v>57</v>
      </c>
      <c r="E67" s="9" t="s">
        <v>71</v>
      </c>
      <c r="F67" s="9" t="s">
        <v>60</v>
      </c>
      <c r="G67" s="9" t="s">
        <v>95</v>
      </c>
      <c r="H67" s="9" t="s">
        <v>57</v>
      </c>
      <c r="I67" s="9" t="s">
        <v>72</v>
      </c>
      <c r="J67" s="11">
        <v>1</v>
      </c>
      <c r="K67" s="11">
        <v>1</v>
      </c>
      <c r="L67" s="11">
        <v>1</v>
      </c>
      <c r="M67" s="11">
        <v>1</v>
      </c>
      <c r="N67" s="11">
        <v>1</v>
      </c>
      <c r="O67" s="11">
        <v>1</v>
      </c>
      <c r="P67" s="11">
        <v>1.5</v>
      </c>
      <c r="Q67" s="11">
        <v>1</v>
      </c>
      <c r="R67" s="11">
        <v>1</v>
      </c>
      <c r="S67" s="11">
        <v>1.5</v>
      </c>
      <c r="T67" s="13">
        <f t="shared" si="0"/>
        <v>11</v>
      </c>
      <c r="U67" s="13">
        <f t="shared" si="1"/>
        <v>61.111111111111114</v>
      </c>
      <c r="V67" s="12">
        <v>1</v>
      </c>
      <c r="W67" s="12">
        <v>1</v>
      </c>
      <c r="X67" s="12">
        <v>1</v>
      </c>
      <c r="Y67" s="12">
        <v>1</v>
      </c>
      <c r="Z67" s="12">
        <v>1</v>
      </c>
      <c r="AA67" s="12">
        <v>1</v>
      </c>
      <c r="AB67" s="12">
        <v>1</v>
      </c>
      <c r="AC67" s="12">
        <v>1</v>
      </c>
      <c r="AD67" s="15">
        <f t="shared" si="2"/>
        <v>8</v>
      </c>
      <c r="AE67" s="15">
        <f t="shared" si="3"/>
        <v>100</v>
      </c>
      <c r="AF67" s="14">
        <v>5</v>
      </c>
      <c r="AG67" s="14">
        <v>4</v>
      </c>
      <c r="AH67" s="14">
        <v>4</v>
      </c>
      <c r="AI67" s="14">
        <v>4</v>
      </c>
      <c r="AJ67" s="14">
        <v>5</v>
      </c>
      <c r="AK67" s="14">
        <v>4</v>
      </c>
      <c r="AL67" s="14">
        <v>3</v>
      </c>
      <c r="AM67" s="14">
        <v>4</v>
      </c>
      <c r="AN67" s="14">
        <v>4</v>
      </c>
      <c r="AO67" s="17">
        <f t="shared" si="4"/>
        <v>37</v>
      </c>
      <c r="AP67" s="17">
        <f t="shared" si="5"/>
        <v>82.222222222222214</v>
      </c>
      <c r="AQ67" s="16">
        <v>5</v>
      </c>
      <c r="AR67" s="16">
        <v>4</v>
      </c>
      <c r="AS67" s="16">
        <v>3</v>
      </c>
      <c r="AT67" s="16">
        <v>4</v>
      </c>
      <c r="AU67" s="16">
        <v>5</v>
      </c>
      <c r="AV67" s="16">
        <v>2</v>
      </c>
      <c r="AW67" s="16">
        <v>3</v>
      </c>
      <c r="AX67" s="16">
        <v>2</v>
      </c>
      <c r="AY67" s="16">
        <v>1</v>
      </c>
      <c r="AZ67" s="16">
        <v>4</v>
      </c>
      <c r="BA67" s="18">
        <f t="shared" si="6"/>
        <v>33</v>
      </c>
      <c r="BB67" s="18">
        <f t="shared" si="7"/>
        <v>66</v>
      </c>
    </row>
    <row r="68" spans="1:54" ht="22.5" customHeight="1" x14ac:dyDescent="0.2">
      <c r="A68" s="9" t="s">
        <v>52</v>
      </c>
      <c r="B68" s="9" t="s">
        <v>54</v>
      </c>
      <c r="C68" s="9" t="s">
        <v>69</v>
      </c>
      <c r="D68" s="1" t="s">
        <v>100</v>
      </c>
      <c r="E68" s="9" t="s">
        <v>92</v>
      </c>
      <c r="F68" s="9" t="s">
        <v>92</v>
      </c>
      <c r="G68" s="9" t="s">
        <v>61</v>
      </c>
      <c r="H68" s="9" t="s">
        <v>86</v>
      </c>
      <c r="I68" s="9" t="s">
        <v>72</v>
      </c>
      <c r="J68" s="11">
        <v>1</v>
      </c>
      <c r="K68" s="11">
        <v>1</v>
      </c>
      <c r="L68" s="11">
        <v>0</v>
      </c>
      <c r="M68" s="11">
        <v>0.5</v>
      </c>
      <c r="N68" s="11">
        <v>1.5</v>
      </c>
      <c r="O68" s="11">
        <v>0</v>
      </c>
      <c r="P68" s="11">
        <v>1.5</v>
      </c>
      <c r="Q68" s="11">
        <v>0</v>
      </c>
      <c r="R68" s="11">
        <v>0</v>
      </c>
      <c r="S68" s="11">
        <v>0</v>
      </c>
      <c r="T68" s="13">
        <f t="shared" si="0"/>
        <v>5.5</v>
      </c>
      <c r="U68" s="13">
        <f t="shared" si="1"/>
        <v>30.555555555555557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5">
        <f t="shared" si="2"/>
        <v>0</v>
      </c>
      <c r="AE68" s="15">
        <f t="shared" si="3"/>
        <v>0</v>
      </c>
      <c r="AF68" s="14">
        <v>3</v>
      </c>
      <c r="AG68" s="14">
        <v>3</v>
      </c>
      <c r="AH68" s="14">
        <v>2</v>
      </c>
      <c r="AI68" s="14">
        <v>4</v>
      </c>
      <c r="AJ68" s="14">
        <v>4</v>
      </c>
      <c r="AK68" s="14">
        <v>5</v>
      </c>
      <c r="AL68" s="14">
        <v>5</v>
      </c>
      <c r="AM68" s="14">
        <v>5</v>
      </c>
      <c r="AN68" s="14">
        <v>3</v>
      </c>
      <c r="AO68" s="17">
        <f t="shared" si="4"/>
        <v>34</v>
      </c>
      <c r="AP68" s="17">
        <f t="shared" si="5"/>
        <v>75.555555555555557</v>
      </c>
      <c r="AQ68" s="16">
        <v>1</v>
      </c>
      <c r="AR68" s="16">
        <v>3</v>
      </c>
      <c r="AS68" s="16">
        <v>3</v>
      </c>
      <c r="AT68" s="16">
        <v>3</v>
      </c>
      <c r="AU68" s="16">
        <v>5</v>
      </c>
      <c r="AV68" s="16">
        <v>5</v>
      </c>
      <c r="AW68" s="16">
        <v>5</v>
      </c>
      <c r="AX68" s="16">
        <v>5</v>
      </c>
      <c r="AY68" s="16">
        <v>5</v>
      </c>
      <c r="AZ68" s="16">
        <v>4</v>
      </c>
      <c r="BA68" s="18">
        <f t="shared" si="6"/>
        <v>39</v>
      </c>
      <c r="BB68" s="18">
        <f t="shared" si="7"/>
        <v>78</v>
      </c>
    </row>
    <row r="69" spans="1:54" ht="22.5" customHeight="1" x14ac:dyDescent="0.2">
      <c r="A69" s="9" t="s">
        <v>67</v>
      </c>
      <c r="B69" s="9" t="s">
        <v>54</v>
      </c>
      <c r="C69" s="9" t="s">
        <v>55</v>
      </c>
      <c r="D69" s="1" t="s">
        <v>75</v>
      </c>
      <c r="E69" s="9" t="s">
        <v>60</v>
      </c>
      <c r="F69" s="9" t="s">
        <v>85</v>
      </c>
      <c r="G69" s="9" t="s">
        <v>61</v>
      </c>
      <c r="H69" s="9" t="s">
        <v>97</v>
      </c>
      <c r="I69" s="9" t="s">
        <v>62</v>
      </c>
      <c r="J69" s="11">
        <v>0</v>
      </c>
      <c r="K69" s="11">
        <v>0</v>
      </c>
      <c r="L69" s="11">
        <v>4</v>
      </c>
      <c r="M69" s="11">
        <v>0</v>
      </c>
      <c r="N69" s="11">
        <v>2</v>
      </c>
      <c r="O69" s="11">
        <v>0</v>
      </c>
      <c r="P69" s="11">
        <v>0</v>
      </c>
      <c r="Q69" s="11">
        <v>0</v>
      </c>
      <c r="R69" s="11">
        <v>0</v>
      </c>
      <c r="S69" s="11">
        <v>0.5</v>
      </c>
      <c r="T69" s="13">
        <f t="shared" si="0"/>
        <v>6.5</v>
      </c>
      <c r="U69" s="13">
        <f t="shared" si="1"/>
        <v>36.111111111111107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5">
        <f t="shared" si="2"/>
        <v>0</v>
      </c>
      <c r="AE69" s="15">
        <f t="shared" si="3"/>
        <v>0</v>
      </c>
      <c r="AF69" s="14">
        <v>2</v>
      </c>
      <c r="AG69" s="14">
        <v>3</v>
      </c>
      <c r="AH69" s="14">
        <v>3</v>
      </c>
      <c r="AI69" s="14">
        <v>3</v>
      </c>
      <c r="AJ69" s="14">
        <v>3</v>
      </c>
      <c r="AK69" s="14">
        <v>3</v>
      </c>
      <c r="AL69" s="14">
        <v>3</v>
      </c>
      <c r="AM69" s="14">
        <v>3</v>
      </c>
      <c r="AN69" s="14">
        <v>3</v>
      </c>
      <c r="AO69" s="17">
        <f t="shared" si="4"/>
        <v>26</v>
      </c>
      <c r="AP69" s="17">
        <f t="shared" si="5"/>
        <v>57.777777777777771</v>
      </c>
      <c r="AQ69" s="16">
        <v>2</v>
      </c>
      <c r="AR69" s="16">
        <v>3</v>
      </c>
      <c r="AS69" s="16">
        <v>4</v>
      </c>
      <c r="AT69" s="16">
        <v>5</v>
      </c>
      <c r="AU69" s="16">
        <v>5</v>
      </c>
      <c r="AV69" s="16">
        <v>5</v>
      </c>
      <c r="AW69" s="16">
        <v>5</v>
      </c>
      <c r="AX69" s="16">
        <v>5</v>
      </c>
      <c r="AY69" s="16">
        <v>5</v>
      </c>
      <c r="AZ69" s="16">
        <v>5</v>
      </c>
      <c r="BA69" s="18">
        <f t="shared" si="6"/>
        <v>44</v>
      </c>
      <c r="BB69" s="18">
        <f t="shared" si="7"/>
        <v>88</v>
      </c>
    </row>
    <row r="70" spans="1:54" ht="22.5" customHeight="1" x14ac:dyDescent="0.2">
      <c r="A70" s="9" t="s">
        <v>67</v>
      </c>
      <c r="B70" s="9" t="s">
        <v>54</v>
      </c>
      <c r="C70" s="9" t="s">
        <v>69</v>
      </c>
      <c r="D70" s="1" t="s">
        <v>100</v>
      </c>
      <c r="E70" s="9" t="s">
        <v>92</v>
      </c>
      <c r="F70" s="9" t="s">
        <v>92</v>
      </c>
      <c r="G70" s="9" t="s">
        <v>61</v>
      </c>
      <c r="H70" s="9" t="s">
        <v>57</v>
      </c>
      <c r="I70" s="9" t="s">
        <v>81</v>
      </c>
      <c r="J70" s="11">
        <v>1</v>
      </c>
      <c r="K70" s="11">
        <v>1</v>
      </c>
      <c r="L70" s="11">
        <v>3</v>
      </c>
      <c r="M70" s="11">
        <v>0.5</v>
      </c>
      <c r="N70" s="11">
        <v>1</v>
      </c>
      <c r="O70" s="11">
        <v>0</v>
      </c>
      <c r="P70" s="11">
        <v>1</v>
      </c>
      <c r="Q70" s="11">
        <v>1</v>
      </c>
      <c r="R70" s="11">
        <v>1.5</v>
      </c>
      <c r="S70" s="11">
        <v>1.5</v>
      </c>
      <c r="T70" s="13">
        <f t="shared" si="0"/>
        <v>11.5</v>
      </c>
      <c r="U70" s="13">
        <f t="shared" si="1"/>
        <v>63.888888888888886</v>
      </c>
      <c r="V70" s="12">
        <v>1</v>
      </c>
      <c r="W70" s="12">
        <v>1</v>
      </c>
      <c r="X70" s="12">
        <v>1</v>
      </c>
      <c r="Y70" s="12">
        <v>1</v>
      </c>
      <c r="Z70" s="12">
        <v>1</v>
      </c>
      <c r="AA70" s="12">
        <v>0</v>
      </c>
      <c r="AB70" s="12">
        <v>0</v>
      </c>
      <c r="AC70" s="12">
        <v>0</v>
      </c>
      <c r="AD70" s="15">
        <f t="shared" si="2"/>
        <v>5</v>
      </c>
      <c r="AE70" s="15">
        <f t="shared" si="3"/>
        <v>62.5</v>
      </c>
      <c r="AF70" s="14">
        <v>2</v>
      </c>
      <c r="AG70" s="14">
        <v>2</v>
      </c>
      <c r="AH70" s="14">
        <v>2</v>
      </c>
      <c r="AI70" s="14">
        <v>2</v>
      </c>
      <c r="AJ70" s="14">
        <v>2</v>
      </c>
      <c r="AK70" s="14">
        <v>2</v>
      </c>
      <c r="AL70" s="14">
        <v>2</v>
      </c>
      <c r="AM70" s="14">
        <v>2</v>
      </c>
      <c r="AN70" s="14">
        <v>2</v>
      </c>
      <c r="AO70" s="17">
        <f t="shared" si="4"/>
        <v>18</v>
      </c>
      <c r="AP70" s="17">
        <f t="shared" si="5"/>
        <v>40</v>
      </c>
      <c r="AQ70" s="16">
        <v>3</v>
      </c>
      <c r="AR70" s="16">
        <v>3</v>
      </c>
      <c r="AS70" s="16">
        <v>3</v>
      </c>
      <c r="AT70" s="16">
        <v>3</v>
      </c>
      <c r="AU70" s="16">
        <v>5</v>
      </c>
      <c r="AV70" s="16">
        <v>5</v>
      </c>
      <c r="AW70" s="16">
        <v>5</v>
      </c>
      <c r="AX70" s="16">
        <v>5</v>
      </c>
      <c r="AY70" s="16">
        <v>5</v>
      </c>
      <c r="AZ70" s="16">
        <v>5</v>
      </c>
      <c r="BA70" s="18">
        <f t="shared" si="6"/>
        <v>42</v>
      </c>
      <c r="BB70" s="18">
        <f t="shared" si="7"/>
        <v>84</v>
      </c>
    </row>
    <row r="71" spans="1:54" ht="22.5" customHeight="1" x14ac:dyDescent="0.2">
      <c r="A71" s="9" t="s">
        <v>74</v>
      </c>
      <c r="B71" s="9" t="s">
        <v>54</v>
      </c>
      <c r="C71" s="9" t="s">
        <v>55</v>
      </c>
      <c r="D71" s="1" t="s">
        <v>57</v>
      </c>
      <c r="E71" s="9" t="s">
        <v>71</v>
      </c>
      <c r="F71" s="9" t="s">
        <v>60</v>
      </c>
      <c r="G71" s="9" t="s">
        <v>86</v>
      </c>
      <c r="H71" s="9" t="s">
        <v>57</v>
      </c>
      <c r="I71" s="9" t="s">
        <v>62</v>
      </c>
      <c r="J71" s="11">
        <v>1</v>
      </c>
      <c r="K71" s="11">
        <v>1</v>
      </c>
      <c r="L71" s="11">
        <v>1</v>
      </c>
      <c r="M71" s="11">
        <v>2</v>
      </c>
      <c r="N71" s="11">
        <v>1</v>
      </c>
      <c r="O71" s="11">
        <v>1</v>
      </c>
      <c r="P71" s="11">
        <v>1.5</v>
      </c>
      <c r="Q71" s="11">
        <v>1</v>
      </c>
      <c r="R71" s="11">
        <v>2</v>
      </c>
      <c r="S71" s="11">
        <v>1</v>
      </c>
      <c r="T71" s="13">
        <f t="shared" si="0"/>
        <v>12.5</v>
      </c>
      <c r="U71" s="13">
        <f t="shared" si="1"/>
        <v>69.444444444444443</v>
      </c>
      <c r="V71" s="12">
        <v>1</v>
      </c>
      <c r="W71" s="12">
        <v>1</v>
      </c>
      <c r="X71" s="12">
        <v>0</v>
      </c>
      <c r="Y71" s="12">
        <v>1</v>
      </c>
      <c r="Z71" s="12">
        <v>1</v>
      </c>
      <c r="AA71" s="12">
        <v>1</v>
      </c>
      <c r="AB71" s="12">
        <v>1</v>
      </c>
      <c r="AC71" s="12">
        <v>1</v>
      </c>
      <c r="AD71" s="15">
        <f t="shared" si="2"/>
        <v>7</v>
      </c>
      <c r="AE71" s="15">
        <f t="shared" si="3"/>
        <v>87.5</v>
      </c>
      <c r="AF71" s="14">
        <v>4</v>
      </c>
      <c r="AG71" s="14">
        <v>5</v>
      </c>
      <c r="AH71" s="14">
        <v>4</v>
      </c>
      <c r="AI71" s="14">
        <v>3</v>
      </c>
      <c r="AJ71" s="14">
        <v>4</v>
      </c>
      <c r="AK71" s="14">
        <v>2</v>
      </c>
      <c r="AL71" s="14">
        <v>4</v>
      </c>
      <c r="AM71" s="14">
        <v>5</v>
      </c>
      <c r="AN71" s="14">
        <v>4</v>
      </c>
      <c r="AO71" s="17">
        <f t="shared" si="4"/>
        <v>35</v>
      </c>
      <c r="AP71" s="17">
        <f t="shared" si="5"/>
        <v>77.777777777777786</v>
      </c>
      <c r="AQ71" s="16">
        <v>4</v>
      </c>
      <c r="AR71" s="16">
        <v>3</v>
      </c>
      <c r="AS71" s="16">
        <v>2</v>
      </c>
      <c r="AT71" s="16">
        <v>2</v>
      </c>
      <c r="AU71" s="16">
        <v>5</v>
      </c>
      <c r="AV71" s="16">
        <v>4</v>
      </c>
      <c r="AW71" s="16">
        <v>4</v>
      </c>
      <c r="AX71" s="16">
        <v>5</v>
      </c>
      <c r="AY71" s="16">
        <v>5</v>
      </c>
      <c r="AZ71" s="16">
        <v>3</v>
      </c>
      <c r="BA71" s="18">
        <f t="shared" si="6"/>
        <v>37</v>
      </c>
      <c r="BB71" s="18">
        <f t="shared" si="7"/>
        <v>74</v>
      </c>
    </row>
    <row r="72" spans="1:54" ht="22.5" customHeight="1" x14ac:dyDescent="0.2">
      <c r="A72" s="9" t="s">
        <v>67</v>
      </c>
      <c r="B72" s="9" t="s">
        <v>68</v>
      </c>
      <c r="C72" s="9" t="s">
        <v>69</v>
      </c>
      <c r="D72" s="1" t="s">
        <v>100</v>
      </c>
      <c r="E72" s="9" t="s">
        <v>71</v>
      </c>
      <c r="F72" s="9" t="s">
        <v>60</v>
      </c>
      <c r="G72" s="9" t="s">
        <v>61</v>
      </c>
      <c r="H72" s="9" t="s">
        <v>99</v>
      </c>
      <c r="I72" s="9" t="s">
        <v>96</v>
      </c>
      <c r="J72" s="11">
        <v>1</v>
      </c>
      <c r="K72" s="11">
        <v>1</v>
      </c>
      <c r="L72" s="11">
        <v>3</v>
      </c>
      <c r="M72" s="11">
        <v>1</v>
      </c>
      <c r="N72" s="11">
        <v>2</v>
      </c>
      <c r="O72" s="11">
        <v>0</v>
      </c>
      <c r="P72" s="11">
        <v>2</v>
      </c>
      <c r="Q72" s="11">
        <v>1</v>
      </c>
      <c r="R72" s="11">
        <v>1.5</v>
      </c>
      <c r="S72" s="11">
        <v>2</v>
      </c>
      <c r="T72" s="13">
        <f t="shared" si="0"/>
        <v>14.5</v>
      </c>
      <c r="U72" s="13">
        <f t="shared" si="1"/>
        <v>80.555555555555557</v>
      </c>
      <c r="V72" s="12">
        <v>1</v>
      </c>
      <c r="W72" s="12">
        <v>1</v>
      </c>
      <c r="X72" s="12">
        <v>0</v>
      </c>
      <c r="Y72" s="12">
        <v>1</v>
      </c>
      <c r="Z72" s="12">
        <v>1</v>
      </c>
      <c r="AA72" s="12">
        <v>1</v>
      </c>
      <c r="AB72" s="12">
        <v>1</v>
      </c>
      <c r="AC72" s="12">
        <v>1</v>
      </c>
      <c r="AD72" s="15">
        <f t="shared" si="2"/>
        <v>7</v>
      </c>
      <c r="AE72" s="15">
        <f t="shared" si="3"/>
        <v>87.5</v>
      </c>
      <c r="AF72" s="14">
        <v>5</v>
      </c>
      <c r="AG72" s="14">
        <v>5</v>
      </c>
      <c r="AH72" s="14">
        <v>4</v>
      </c>
      <c r="AI72" s="14">
        <v>5</v>
      </c>
      <c r="AJ72" s="14">
        <v>5</v>
      </c>
      <c r="AK72" s="14">
        <v>5</v>
      </c>
      <c r="AL72" s="14">
        <v>5</v>
      </c>
      <c r="AM72" s="14">
        <v>5</v>
      </c>
      <c r="AN72" s="14">
        <v>5</v>
      </c>
      <c r="AO72" s="17">
        <f t="shared" si="4"/>
        <v>44</v>
      </c>
      <c r="AP72" s="17">
        <f t="shared" si="5"/>
        <v>97.777777777777771</v>
      </c>
      <c r="AQ72" s="16">
        <v>5</v>
      </c>
      <c r="AR72" s="16">
        <v>5</v>
      </c>
      <c r="AS72" s="16">
        <v>5</v>
      </c>
      <c r="AT72" s="16">
        <v>5</v>
      </c>
      <c r="AU72" s="16">
        <v>5</v>
      </c>
      <c r="AV72" s="16">
        <v>5</v>
      </c>
      <c r="AW72" s="16">
        <v>5</v>
      </c>
      <c r="AX72" s="16">
        <v>5</v>
      </c>
      <c r="AY72" s="16">
        <v>5</v>
      </c>
      <c r="AZ72" s="16">
        <v>5</v>
      </c>
      <c r="BA72" s="18">
        <f t="shared" si="6"/>
        <v>50</v>
      </c>
      <c r="BB72" s="18">
        <f t="shared" si="7"/>
        <v>100</v>
      </c>
    </row>
    <row r="73" spans="1:54" ht="22.5" customHeight="1" x14ac:dyDescent="0.2">
      <c r="A73" s="9" t="s">
        <v>67</v>
      </c>
      <c r="B73" s="9" t="s">
        <v>68</v>
      </c>
      <c r="C73" s="9" t="s">
        <v>69</v>
      </c>
      <c r="D73" s="1" t="s">
        <v>57</v>
      </c>
      <c r="E73" s="9" t="s">
        <v>59</v>
      </c>
      <c r="F73" s="9" t="s">
        <v>71</v>
      </c>
      <c r="G73" s="9" t="s">
        <v>76</v>
      </c>
      <c r="H73" s="9" t="s">
        <v>57</v>
      </c>
      <c r="I73" s="9" t="s">
        <v>96</v>
      </c>
      <c r="J73" s="11">
        <v>1</v>
      </c>
      <c r="K73" s="11">
        <v>1</v>
      </c>
      <c r="L73" s="11">
        <v>2</v>
      </c>
      <c r="M73" s="11">
        <v>1</v>
      </c>
      <c r="N73" s="11">
        <v>1.5</v>
      </c>
      <c r="O73" s="11">
        <v>1</v>
      </c>
      <c r="P73" s="11">
        <v>1</v>
      </c>
      <c r="Q73" s="11">
        <v>1</v>
      </c>
      <c r="R73" s="11">
        <v>1.5</v>
      </c>
      <c r="S73" s="11">
        <v>1.5</v>
      </c>
      <c r="T73" s="13">
        <f t="shared" si="0"/>
        <v>12.5</v>
      </c>
      <c r="U73" s="13">
        <f t="shared" si="1"/>
        <v>69.444444444444443</v>
      </c>
      <c r="V73" s="12">
        <v>1</v>
      </c>
      <c r="W73" s="12">
        <v>1</v>
      </c>
      <c r="X73" s="12">
        <v>0</v>
      </c>
      <c r="Y73" s="12">
        <v>1</v>
      </c>
      <c r="Z73" s="12">
        <v>1</v>
      </c>
      <c r="AA73" s="12">
        <v>0</v>
      </c>
      <c r="AB73" s="12">
        <v>1</v>
      </c>
      <c r="AC73" s="12">
        <v>1</v>
      </c>
      <c r="AD73" s="15">
        <f t="shared" si="2"/>
        <v>6</v>
      </c>
      <c r="AE73" s="15">
        <f t="shared" si="3"/>
        <v>75</v>
      </c>
      <c r="AF73" s="14">
        <v>4</v>
      </c>
      <c r="AG73" s="14">
        <v>5</v>
      </c>
      <c r="AH73" s="14">
        <v>3</v>
      </c>
      <c r="AI73" s="14">
        <v>4</v>
      </c>
      <c r="AJ73" s="14">
        <v>4</v>
      </c>
      <c r="AK73" s="14">
        <v>3</v>
      </c>
      <c r="AL73" s="14">
        <v>5</v>
      </c>
      <c r="AM73" s="14">
        <v>4</v>
      </c>
      <c r="AN73" s="14">
        <v>3</v>
      </c>
      <c r="AO73" s="17">
        <f t="shared" si="4"/>
        <v>35</v>
      </c>
      <c r="AP73" s="17">
        <f t="shared" si="5"/>
        <v>77.777777777777786</v>
      </c>
      <c r="AQ73" s="16">
        <v>4</v>
      </c>
      <c r="AR73" s="16">
        <v>5</v>
      </c>
      <c r="AS73" s="16">
        <v>3</v>
      </c>
      <c r="AT73" s="16">
        <v>4</v>
      </c>
      <c r="AU73" s="16">
        <v>5</v>
      </c>
      <c r="AV73" s="16">
        <v>4</v>
      </c>
      <c r="AW73" s="16">
        <v>5</v>
      </c>
      <c r="AX73" s="16">
        <v>4</v>
      </c>
      <c r="AY73" s="16">
        <v>5</v>
      </c>
      <c r="AZ73" s="16">
        <v>3</v>
      </c>
      <c r="BA73" s="18">
        <f t="shared" si="6"/>
        <v>42</v>
      </c>
      <c r="BB73" s="18">
        <f t="shared" si="7"/>
        <v>84</v>
      </c>
    </row>
    <row r="74" spans="1:54" ht="22.5" customHeight="1" x14ac:dyDescent="0.2">
      <c r="A74" s="9" t="s">
        <v>67</v>
      </c>
      <c r="B74" s="9" t="s">
        <v>68</v>
      </c>
      <c r="C74" s="9" t="s">
        <v>69</v>
      </c>
      <c r="D74" s="1" t="s">
        <v>57</v>
      </c>
      <c r="E74" s="9" t="s">
        <v>60</v>
      </c>
      <c r="F74" s="9" t="s">
        <v>71</v>
      </c>
      <c r="G74" s="9" t="s">
        <v>95</v>
      </c>
      <c r="H74" s="9" t="s">
        <v>57</v>
      </c>
      <c r="I74" s="9" t="s">
        <v>72</v>
      </c>
      <c r="J74" s="11">
        <v>1</v>
      </c>
      <c r="K74" s="11">
        <v>1</v>
      </c>
      <c r="L74" s="11">
        <v>1</v>
      </c>
      <c r="M74" s="11">
        <v>0.5</v>
      </c>
      <c r="N74" s="11">
        <v>1.5</v>
      </c>
      <c r="O74" s="11">
        <v>1</v>
      </c>
      <c r="P74" s="11">
        <v>1.5</v>
      </c>
      <c r="Q74" s="11">
        <v>1</v>
      </c>
      <c r="R74" s="11">
        <v>2</v>
      </c>
      <c r="S74" s="11">
        <v>1</v>
      </c>
      <c r="T74" s="13">
        <f t="shared" si="0"/>
        <v>11.5</v>
      </c>
      <c r="U74" s="13">
        <f t="shared" si="1"/>
        <v>63.888888888888886</v>
      </c>
      <c r="V74" s="12">
        <v>1</v>
      </c>
      <c r="W74" s="12">
        <v>1</v>
      </c>
      <c r="X74" s="12">
        <v>0</v>
      </c>
      <c r="Y74" s="12">
        <v>1</v>
      </c>
      <c r="Z74" s="12">
        <v>1</v>
      </c>
      <c r="AA74" s="12">
        <v>1</v>
      </c>
      <c r="AB74" s="12">
        <v>0</v>
      </c>
      <c r="AC74" s="12">
        <v>1</v>
      </c>
      <c r="AD74" s="15">
        <f t="shared" si="2"/>
        <v>6</v>
      </c>
      <c r="AE74" s="15">
        <f t="shared" si="3"/>
        <v>75</v>
      </c>
      <c r="AF74" s="14">
        <v>4</v>
      </c>
      <c r="AG74" s="14">
        <v>4</v>
      </c>
      <c r="AH74" s="14">
        <v>3</v>
      </c>
      <c r="AI74" s="14">
        <v>5</v>
      </c>
      <c r="AJ74" s="14">
        <v>5</v>
      </c>
      <c r="AK74" s="14">
        <v>4</v>
      </c>
      <c r="AL74" s="14">
        <v>4</v>
      </c>
      <c r="AM74" s="14">
        <v>5</v>
      </c>
      <c r="AN74" s="14">
        <v>4</v>
      </c>
      <c r="AO74" s="17">
        <f t="shared" si="4"/>
        <v>38</v>
      </c>
      <c r="AP74" s="17">
        <f t="shared" si="5"/>
        <v>84.444444444444443</v>
      </c>
      <c r="AQ74" s="16">
        <v>4</v>
      </c>
      <c r="AR74" s="16">
        <v>4</v>
      </c>
      <c r="AS74" s="16">
        <v>5</v>
      </c>
      <c r="AT74" s="16">
        <v>3</v>
      </c>
      <c r="AU74" s="16">
        <v>5</v>
      </c>
      <c r="AV74" s="16">
        <v>4</v>
      </c>
      <c r="AW74" s="16">
        <v>5</v>
      </c>
      <c r="AX74" s="16">
        <v>4</v>
      </c>
      <c r="AY74" s="16">
        <v>5</v>
      </c>
      <c r="AZ74" s="16">
        <v>4</v>
      </c>
      <c r="BA74" s="18">
        <f t="shared" si="6"/>
        <v>43</v>
      </c>
      <c r="BB74" s="18">
        <f t="shared" si="7"/>
        <v>86</v>
      </c>
    </row>
    <row r="75" spans="1:54" ht="22.5" customHeight="1" x14ac:dyDescent="0.2">
      <c r="A75" s="9" t="s">
        <v>52</v>
      </c>
      <c r="B75" s="9" t="s">
        <v>54</v>
      </c>
      <c r="C75" s="9" t="s">
        <v>69</v>
      </c>
      <c r="D75" s="1" t="s">
        <v>70</v>
      </c>
      <c r="E75" s="9" t="s">
        <v>60</v>
      </c>
      <c r="F75" s="9" t="s">
        <v>60</v>
      </c>
      <c r="G75" s="9" t="s">
        <v>61</v>
      </c>
      <c r="H75" s="9" t="s">
        <v>57</v>
      </c>
      <c r="I75" s="9" t="s">
        <v>62</v>
      </c>
      <c r="J75" s="11">
        <v>1</v>
      </c>
      <c r="K75" s="11">
        <v>1</v>
      </c>
      <c r="L75" s="11">
        <v>1</v>
      </c>
      <c r="M75" s="11">
        <v>1</v>
      </c>
      <c r="N75" s="11">
        <v>1</v>
      </c>
      <c r="O75" s="11">
        <v>1</v>
      </c>
      <c r="P75" s="11">
        <v>2</v>
      </c>
      <c r="Q75" s="11">
        <v>1</v>
      </c>
      <c r="R75" s="11">
        <v>1</v>
      </c>
      <c r="S75" s="11">
        <v>1.5</v>
      </c>
      <c r="T75" s="13">
        <f t="shared" si="0"/>
        <v>11.5</v>
      </c>
      <c r="U75" s="13">
        <f t="shared" si="1"/>
        <v>63.888888888888886</v>
      </c>
      <c r="V75" s="12">
        <v>1</v>
      </c>
      <c r="W75" s="12">
        <v>1</v>
      </c>
      <c r="X75" s="12">
        <v>1</v>
      </c>
      <c r="Y75" s="12">
        <v>1</v>
      </c>
      <c r="Z75" s="12">
        <v>1</v>
      </c>
      <c r="AA75" s="12">
        <v>1</v>
      </c>
      <c r="AB75" s="12">
        <v>1</v>
      </c>
      <c r="AC75" s="12">
        <v>1</v>
      </c>
      <c r="AD75" s="15">
        <f t="shared" si="2"/>
        <v>8</v>
      </c>
      <c r="AE75" s="15">
        <f t="shared" si="3"/>
        <v>100</v>
      </c>
      <c r="AF75" s="14">
        <v>3</v>
      </c>
      <c r="AG75" s="14">
        <v>3</v>
      </c>
      <c r="AH75" s="14">
        <v>4</v>
      </c>
      <c r="AI75" s="14">
        <v>3</v>
      </c>
      <c r="AJ75" s="14">
        <v>4</v>
      </c>
      <c r="AK75" s="14">
        <v>4</v>
      </c>
      <c r="AL75" s="14">
        <v>3</v>
      </c>
      <c r="AM75" s="14">
        <v>4</v>
      </c>
      <c r="AN75" s="14">
        <v>4</v>
      </c>
      <c r="AO75" s="17">
        <f t="shared" si="4"/>
        <v>32</v>
      </c>
      <c r="AP75" s="17">
        <f t="shared" si="5"/>
        <v>71.111111111111114</v>
      </c>
      <c r="AQ75" s="16">
        <v>4</v>
      </c>
      <c r="AR75" s="16">
        <v>4</v>
      </c>
      <c r="AS75" s="16">
        <v>4</v>
      </c>
      <c r="AT75" s="16">
        <v>2</v>
      </c>
      <c r="AU75" s="16">
        <v>5</v>
      </c>
      <c r="AV75" s="16">
        <v>4</v>
      </c>
      <c r="AW75" s="16">
        <v>3</v>
      </c>
      <c r="AX75" s="16">
        <v>4</v>
      </c>
      <c r="AY75" s="16">
        <v>5</v>
      </c>
      <c r="AZ75" s="16">
        <v>4</v>
      </c>
      <c r="BA75" s="18">
        <f t="shared" si="6"/>
        <v>39</v>
      </c>
      <c r="BB75" s="18">
        <f t="shared" si="7"/>
        <v>78</v>
      </c>
    </row>
    <row r="76" spans="1:54" ht="22.5" customHeight="1" x14ac:dyDescent="0.2">
      <c r="A76" s="9" t="s">
        <v>93</v>
      </c>
      <c r="B76" s="9" t="s">
        <v>54</v>
      </c>
      <c r="C76" s="9" t="s">
        <v>69</v>
      </c>
      <c r="D76" s="1" t="s">
        <v>75</v>
      </c>
      <c r="E76" s="9" t="s">
        <v>85</v>
      </c>
      <c r="F76" s="9" t="s">
        <v>71</v>
      </c>
      <c r="G76" s="9" t="s">
        <v>95</v>
      </c>
      <c r="H76" s="9" t="s">
        <v>57</v>
      </c>
      <c r="I76" s="9" t="s">
        <v>81</v>
      </c>
      <c r="J76" s="11">
        <v>1</v>
      </c>
      <c r="K76" s="11">
        <v>1</v>
      </c>
      <c r="L76" s="11">
        <v>1</v>
      </c>
      <c r="M76" s="11">
        <v>0.5</v>
      </c>
      <c r="N76" s="11">
        <v>1</v>
      </c>
      <c r="O76" s="11">
        <v>1</v>
      </c>
      <c r="P76" s="11">
        <v>1.5</v>
      </c>
      <c r="Q76" s="11">
        <v>1</v>
      </c>
      <c r="R76" s="11">
        <v>1</v>
      </c>
      <c r="S76" s="11">
        <v>1.5</v>
      </c>
      <c r="T76" s="13">
        <f t="shared" si="0"/>
        <v>10.5</v>
      </c>
      <c r="U76" s="13">
        <f t="shared" si="1"/>
        <v>58.333333333333336</v>
      </c>
      <c r="V76" s="12">
        <v>1</v>
      </c>
      <c r="W76" s="12">
        <v>1</v>
      </c>
      <c r="X76" s="12">
        <v>1</v>
      </c>
      <c r="Y76" s="12">
        <v>1</v>
      </c>
      <c r="Z76" s="12">
        <v>1</v>
      </c>
      <c r="AA76" s="12">
        <v>1</v>
      </c>
      <c r="AB76" s="12">
        <v>1</v>
      </c>
      <c r="AC76" s="12">
        <v>1</v>
      </c>
      <c r="AD76" s="15">
        <f t="shared" si="2"/>
        <v>8</v>
      </c>
      <c r="AE76" s="15">
        <f t="shared" si="3"/>
        <v>100</v>
      </c>
      <c r="AF76" s="14">
        <v>4</v>
      </c>
      <c r="AG76" s="14">
        <v>4</v>
      </c>
      <c r="AH76" s="14">
        <v>4</v>
      </c>
      <c r="AI76" s="14">
        <v>4</v>
      </c>
      <c r="AJ76" s="14">
        <v>4</v>
      </c>
      <c r="AK76" s="14">
        <v>4</v>
      </c>
      <c r="AL76" s="14">
        <v>4</v>
      </c>
      <c r="AM76" s="14">
        <v>4</v>
      </c>
      <c r="AN76" s="14">
        <v>3</v>
      </c>
      <c r="AO76" s="17">
        <f t="shared" si="4"/>
        <v>35</v>
      </c>
      <c r="AP76" s="17">
        <f t="shared" si="5"/>
        <v>77.777777777777786</v>
      </c>
      <c r="AQ76" s="16">
        <v>5</v>
      </c>
      <c r="AR76" s="16">
        <v>5</v>
      </c>
      <c r="AS76" s="16">
        <v>4</v>
      </c>
      <c r="AT76" s="16">
        <v>5</v>
      </c>
      <c r="AU76" s="16">
        <v>5</v>
      </c>
      <c r="AV76" s="16">
        <v>3</v>
      </c>
      <c r="AW76" s="16">
        <v>2</v>
      </c>
      <c r="AX76" s="16">
        <v>5</v>
      </c>
      <c r="AY76" s="16">
        <v>5</v>
      </c>
      <c r="AZ76" s="16">
        <v>3</v>
      </c>
      <c r="BA76" s="18">
        <f t="shared" si="6"/>
        <v>42</v>
      </c>
      <c r="BB76" s="18">
        <f t="shared" si="7"/>
        <v>84</v>
      </c>
    </row>
    <row r="77" spans="1:54" ht="22.5" customHeight="1" x14ac:dyDescent="0.2">
      <c r="A77" s="9" t="s">
        <v>74</v>
      </c>
      <c r="B77" s="9" t="s">
        <v>54</v>
      </c>
      <c r="C77" s="9" t="s">
        <v>55</v>
      </c>
      <c r="D77" s="1" t="s">
        <v>102</v>
      </c>
      <c r="E77" s="9" t="s">
        <v>71</v>
      </c>
      <c r="F77" s="9" t="s">
        <v>60</v>
      </c>
      <c r="G77" s="9" t="s">
        <v>61</v>
      </c>
      <c r="H77" s="9" t="s">
        <v>57</v>
      </c>
      <c r="I77" s="9" t="s">
        <v>62</v>
      </c>
      <c r="J77" s="11">
        <v>0</v>
      </c>
      <c r="K77" s="11">
        <v>1</v>
      </c>
      <c r="L77" s="11">
        <v>1</v>
      </c>
      <c r="M77" s="11">
        <v>1</v>
      </c>
      <c r="N77" s="11">
        <v>1.5</v>
      </c>
      <c r="O77" s="11">
        <v>1</v>
      </c>
      <c r="P77" s="11">
        <v>1</v>
      </c>
      <c r="Q77" s="11">
        <v>0</v>
      </c>
      <c r="R77" s="11">
        <v>1.5</v>
      </c>
      <c r="S77" s="11">
        <v>2</v>
      </c>
      <c r="T77" s="13">
        <f t="shared" si="0"/>
        <v>10</v>
      </c>
      <c r="U77" s="13">
        <f t="shared" si="1"/>
        <v>55.555555555555557</v>
      </c>
      <c r="V77" s="12">
        <v>1</v>
      </c>
      <c r="W77" s="12">
        <v>1</v>
      </c>
      <c r="X77" s="12">
        <v>1</v>
      </c>
      <c r="Y77" s="12">
        <v>1</v>
      </c>
      <c r="Z77" s="12">
        <v>1</v>
      </c>
      <c r="AA77" s="12">
        <v>1</v>
      </c>
      <c r="AB77" s="12">
        <v>1</v>
      </c>
      <c r="AC77" s="12">
        <v>1</v>
      </c>
      <c r="AD77" s="15">
        <f t="shared" si="2"/>
        <v>8</v>
      </c>
      <c r="AE77" s="15">
        <f t="shared" si="3"/>
        <v>100</v>
      </c>
      <c r="AF77" s="14">
        <v>4</v>
      </c>
      <c r="AG77" s="14">
        <v>4</v>
      </c>
      <c r="AH77" s="14">
        <v>5</v>
      </c>
      <c r="AI77" s="14">
        <v>4</v>
      </c>
      <c r="AJ77" s="14">
        <v>5</v>
      </c>
      <c r="AK77" s="14">
        <v>5</v>
      </c>
      <c r="AL77" s="14">
        <v>5</v>
      </c>
      <c r="AM77" s="14">
        <v>5</v>
      </c>
      <c r="AN77" s="14">
        <v>5</v>
      </c>
      <c r="AO77" s="17">
        <f t="shared" si="4"/>
        <v>42</v>
      </c>
      <c r="AP77" s="17">
        <f t="shared" si="5"/>
        <v>93.333333333333329</v>
      </c>
      <c r="AQ77" s="16">
        <v>5</v>
      </c>
      <c r="AR77" s="16">
        <v>5</v>
      </c>
      <c r="AS77" s="16">
        <v>5</v>
      </c>
      <c r="AT77" s="16">
        <v>5</v>
      </c>
      <c r="AU77" s="16">
        <v>5</v>
      </c>
      <c r="AV77" s="16">
        <v>5</v>
      </c>
      <c r="AW77" s="16">
        <v>5</v>
      </c>
      <c r="AX77" s="16">
        <v>5</v>
      </c>
      <c r="AY77" s="16">
        <v>5</v>
      </c>
      <c r="AZ77" s="16">
        <v>5</v>
      </c>
      <c r="BA77" s="18">
        <f t="shared" si="6"/>
        <v>50</v>
      </c>
      <c r="BB77" s="18">
        <f t="shared" si="7"/>
        <v>100</v>
      </c>
    </row>
    <row r="78" spans="1:54" ht="22.5" customHeight="1" x14ac:dyDescent="0.2">
      <c r="A78" s="9" t="s">
        <v>52</v>
      </c>
      <c r="B78" s="9" t="s">
        <v>54</v>
      </c>
      <c r="C78" s="9" t="s">
        <v>55</v>
      </c>
      <c r="D78" s="1" t="s">
        <v>75</v>
      </c>
      <c r="E78" s="9" t="s">
        <v>71</v>
      </c>
      <c r="F78" s="9" t="s">
        <v>60</v>
      </c>
      <c r="G78" s="9" t="s">
        <v>61</v>
      </c>
      <c r="H78" s="9" t="s">
        <v>57</v>
      </c>
      <c r="I78" s="9" t="s">
        <v>72</v>
      </c>
      <c r="J78" s="11">
        <v>0</v>
      </c>
      <c r="K78" s="11">
        <v>0</v>
      </c>
      <c r="L78" s="11">
        <v>0</v>
      </c>
      <c r="M78" s="11">
        <v>0</v>
      </c>
      <c r="N78" s="11">
        <v>0.5</v>
      </c>
      <c r="O78" s="11">
        <v>0</v>
      </c>
      <c r="P78" s="11">
        <v>1</v>
      </c>
      <c r="Q78" s="11">
        <v>0</v>
      </c>
      <c r="R78" s="11">
        <v>1</v>
      </c>
      <c r="S78" s="11">
        <v>1</v>
      </c>
      <c r="T78" s="13">
        <f t="shared" si="0"/>
        <v>3.5</v>
      </c>
      <c r="U78" s="13">
        <f t="shared" si="1"/>
        <v>19.444444444444446</v>
      </c>
      <c r="V78" s="12">
        <v>1</v>
      </c>
      <c r="W78" s="12">
        <v>1</v>
      </c>
      <c r="X78" s="12">
        <v>1</v>
      </c>
      <c r="Y78" s="12">
        <v>0</v>
      </c>
      <c r="Z78" s="12">
        <v>1</v>
      </c>
      <c r="AA78" s="12">
        <v>0</v>
      </c>
      <c r="AB78" s="12">
        <v>1</v>
      </c>
      <c r="AC78" s="12">
        <v>1</v>
      </c>
      <c r="AD78" s="15">
        <f t="shared" si="2"/>
        <v>6</v>
      </c>
      <c r="AE78" s="15">
        <f t="shared" si="3"/>
        <v>75</v>
      </c>
      <c r="AF78" s="14">
        <v>4</v>
      </c>
      <c r="AG78" s="14">
        <v>4</v>
      </c>
      <c r="AH78" s="14">
        <v>2</v>
      </c>
      <c r="AI78" s="14">
        <v>3</v>
      </c>
      <c r="AJ78" s="14">
        <v>5</v>
      </c>
      <c r="AK78" s="14">
        <v>5</v>
      </c>
      <c r="AL78" s="14">
        <v>5</v>
      </c>
      <c r="AM78" s="14">
        <v>5</v>
      </c>
      <c r="AN78" s="14">
        <v>5</v>
      </c>
      <c r="AO78" s="17">
        <f t="shared" si="4"/>
        <v>38</v>
      </c>
      <c r="AP78" s="17">
        <f t="shared" si="5"/>
        <v>84.444444444444443</v>
      </c>
      <c r="AQ78" s="16">
        <v>3</v>
      </c>
      <c r="AR78" s="16">
        <v>3</v>
      </c>
      <c r="AS78" s="16">
        <v>3</v>
      </c>
      <c r="AT78" s="16">
        <v>2</v>
      </c>
      <c r="AU78" s="16">
        <v>1</v>
      </c>
      <c r="AV78" s="16">
        <v>3</v>
      </c>
      <c r="AW78" s="16">
        <v>4</v>
      </c>
      <c r="AX78" s="16">
        <v>1</v>
      </c>
      <c r="AY78" s="16">
        <v>1</v>
      </c>
      <c r="AZ78" s="16">
        <v>3</v>
      </c>
      <c r="BA78" s="18">
        <f t="shared" si="6"/>
        <v>24</v>
      </c>
      <c r="BB78" s="18">
        <f t="shared" si="7"/>
        <v>48</v>
      </c>
    </row>
    <row r="79" spans="1:54" ht="22.5" customHeight="1" x14ac:dyDescent="0.2">
      <c r="A79" s="9" t="s">
        <v>52</v>
      </c>
      <c r="B79" s="9" t="s">
        <v>54</v>
      </c>
      <c r="C79" s="9" t="s">
        <v>55</v>
      </c>
      <c r="D79" s="1" t="s">
        <v>100</v>
      </c>
      <c r="E79" s="9" t="s">
        <v>71</v>
      </c>
      <c r="F79" s="9" t="s">
        <v>60</v>
      </c>
      <c r="G79" s="9" t="s">
        <v>61</v>
      </c>
      <c r="H79" s="9" t="s">
        <v>57</v>
      </c>
      <c r="I79" s="9" t="s">
        <v>62</v>
      </c>
      <c r="J79" s="11">
        <v>0</v>
      </c>
      <c r="K79" s="11">
        <v>0</v>
      </c>
      <c r="L79" s="11">
        <v>1</v>
      </c>
      <c r="M79" s="11">
        <v>1</v>
      </c>
      <c r="N79" s="11">
        <v>0.5</v>
      </c>
      <c r="O79" s="11">
        <v>0</v>
      </c>
      <c r="P79" s="11">
        <v>1</v>
      </c>
      <c r="Q79" s="11">
        <v>0</v>
      </c>
      <c r="R79" s="11">
        <v>2</v>
      </c>
      <c r="S79" s="11">
        <v>0.5</v>
      </c>
      <c r="T79" s="13">
        <f t="shared" si="0"/>
        <v>6</v>
      </c>
      <c r="U79" s="13">
        <f t="shared" si="1"/>
        <v>33.333333333333329</v>
      </c>
      <c r="V79" s="12">
        <v>1</v>
      </c>
      <c r="W79" s="12">
        <v>1</v>
      </c>
      <c r="X79" s="12">
        <v>1</v>
      </c>
      <c r="Y79" s="12">
        <v>0</v>
      </c>
      <c r="Z79" s="12">
        <v>1</v>
      </c>
      <c r="AA79" s="12">
        <v>0</v>
      </c>
      <c r="AB79" s="12">
        <v>1</v>
      </c>
      <c r="AC79" s="12">
        <v>0</v>
      </c>
      <c r="AD79" s="15">
        <f t="shared" si="2"/>
        <v>5</v>
      </c>
      <c r="AE79" s="15">
        <f t="shared" si="3"/>
        <v>62.5</v>
      </c>
      <c r="AF79" s="14">
        <v>5</v>
      </c>
      <c r="AG79" s="14">
        <v>3</v>
      </c>
      <c r="AH79" s="14">
        <v>3</v>
      </c>
      <c r="AI79" s="14">
        <v>3</v>
      </c>
      <c r="AJ79" s="14">
        <v>5</v>
      </c>
      <c r="AK79" s="14">
        <v>5</v>
      </c>
      <c r="AL79" s="14">
        <v>5</v>
      </c>
      <c r="AM79" s="14">
        <v>5</v>
      </c>
      <c r="AN79" s="14">
        <v>5</v>
      </c>
      <c r="AO79" s="17">
        <f t="shared" si="4"/>
        <v>39</v>
      </c>
      <c r="AP79" s="17">
        <f t="shared" si="5"/>
        <v>86.666666666666671</v>
      </c>
      <c r="AQ79" s="16">
        <v>1</v>
      </c>
      <c r="AR79" s="16">
        <v>2</v>
      </c>
      <c r="AS79" s="16">
        <v>2</v>
      </c>
      <c r="AT79" s="16">
        <v>1</v>
      </c>
      <c r="AU79" s="16">
        <v>5</v>
      </c>
      <c r="AV79" s="16">
        <v>2</v>
      </c>
      <c r="AW79" s="16">
        <v>3</v>
      </c>
      <c r="AX79" s="16">
        <v>2</v>
      </c>
      <c r="AY79" s="16">
        <v>1</v>
      </c>
      <c r="AZ79" s="16">
        <v>3</v>
      </c>
      <c r="BA79" s="18">
        <f t="shared" si="6"/>
        <v>22</v>
      </c>
      <c r="BB79" s="18">
        <f t="shared" si="7"/>
        <v>44</v>
      </c>
    </row>
    <row r="80" spans="1:54" ht="22.5" customHeight="1" x14ac:dyDescent="0.2">
      <c r="A80" s="9" t="s">
        <v>67</v>
      </c>
      <c r="B80" s="9" t="s">
        <v>54</v>
      </c>
      <c r="C80" s="9" t="s">
        <v>55</v>
      </c>
      <c r="D80" s="1" t="s">
        <v>100</v>
      </c>
      <c r="E80" s="9" t="s">
        <v>71</v>
      </c>
      <c r="F80" s="9" t="s">
        <v>60</v>
      </c>
      <c r="G80" s="9" t="s">
        <v>61</v>
      </c>
      <c r="H80" s="9" t="s">
        <v>57</v>
      </c>
      <c r="I80" s="9" t="s">
        <v>72</v>
      </c>
      <c r="J80" s="11">
        <v>1</v>
      </c>
      <c r="K80" s="11">
        <v>1</v>
      </c>
      <c r="L80" s="11">
        <v>4</v>
      </c>
      <c r="M80" s="11">
        <v>1</v>
      </c>
      <c r="N80" s="11">
        <v>2</v>
      </c>
      <c r="O80" s="11">
        <v>1</v>
      </c>
      <c r="P80" s="11">
        <v>1.5</v>
      </c>
      <c r="Q80" s="11">
        <v>1</v>
      </c>
      <c r="R80" s="11">
        <v>2</v>
      </c>
      <c r="S80" s="11">
        <v>2</v>
      </c>
      <c r="T80" s="13">
        <f t="shared" si="0"/>
        <v>16.5</v>
      </c>
      <c r="U80" s="13">
        <f t="shared" si="1"/>
        <v>91.666666666666657</v>
      </c>
      <c r="V80" s="12">
        <v>1</v>
      </c>
      <c r="W80" s="12">
        <v>1</v>
      </c>
      <c r="X80" s="12">
        <v>1</v>
      </c>
      <c r="Y80" s="12">
        <v>1</v>
      </c>
      <c r="Z80" s="12">
        <v>1</v>
      </c>
      <c r="AA80" s="12">
        <v>1</v>
      </c>
      <c r="AB80" s="12">
        <v>1</v>
      </c>
      <c r="AC80" s="12">
        <v>1</v>
      </c>
      <c r="AD80" s="15">
        <f t="shared" si="2"/>
        <v>8</v>
      </c>
      <c r="AE80" s="15">
        <f t="shared" si="3"/>
        <v>100</v>
      </c>
      <c r="AF80" s="14">
        <v>5</v>
      </c>
      <c r="AG80" s="14">
        <v>5</v>
      </c>
      <c r="AH80" s="14">
        <v>5</v>
      </c>
      <c r="AI80" s="14">
        <v>5</v>
      </c>
      <c r="AJ80" s="14">
        <v>5</v>
      </c>
      <c r="AK80" s="14">
        <v>5</v>
      </c>
      <c r="AL80" s="14">
        <v>5</v>
      </c>
      <c r="AM80" s="14">
        <v>5</v>
      </c>
      <c r="AN80" s="14">
        <v>5</v>
      </c>
      <c r="AO80" s="17">
        <f t="shared" si="4"/>
        <v>45</v>
      </c>
      <c r="AP80" s="17">
        <f t="shared" si="5"/>
        <v>100</v>
      </c>
      <c r="AQ80" s="16">
        <v>5</v>
      </c>
      <c r="AR80" s="16">
        <v>5</v>
      </c>
      <c r="AS80" s="16">
        <v>5</v>
      </c>
      <c r="AT80" s="16">
        <v>5</v>
      </c>
      <c r="AU80" s="16">
        <v>5</v>
      </c>
      <c r="AV80" s="16">
        <v>5</v>
      </c>
      <c r="AW80" s="16">
        <v>5</v>
      </c>
      <c r="AX80" s="16">
        <v>5</v>
      </c>
      <c r="AY80" s="16">
        <v>5</v>
      </c>
      <c r="AZ80" s="16">
        <v>5</v>
      </c>
      <c r="BA80" s="18">
        <f t="shared" si="6"/>
        <v>50</v>
      </c>
      <c r="BB80" s="18">
        <f t="shared" si="7"/>
        <v>100</v>
      </c>
    </row>
    <row r="81" spans="1:54" ht="22.5" customHeight="1" x14ac:dyDescent="0.2">
      <c r="A81" s="9" t="s">
        <v>74</v>
      </c>
      <c r="B81" s="9" t="s">
        <v>54</v>
      </c>
      <c r="C81" s="9" t="s">
        <v>55</v>
      </c>
      <c r="D81" s="1" t="s">
        <v>100</v>
      </c>
      <c r="E81" s="9" t="s">
        <v>71</v>
      </c>
      <c r="F81" s="9" t="s">
        <v>60</v>
      </c>
      <c r="G81" s="9" t="s">
        <v>61</v>
      </c>
      <c r="H81" s="9" t="s">
        <v>57</v>
      </c>
      <c r="I81" s="9" t="s">
        <v>72</v>
      </c>
      <c r="J81" s="11">
        <v>1</v>
      </c>
      <c r="K81" s="11">
        <v>1</v>
      </c>
      <c r="L81" s="11">
        <v>3</v>
      </c>
      <c r="M81" s="11">
        <v>1</v>
      </c>
      <c r="N81" s="11">
        <v>1.5</v>
      </c>
      <c r="O81" s="11">
        <v>1</v>
      </c>
      <c r="P81" s="11">
        <v>2</v>
      </c>
      <c r="Q81" s="11">
        <v>1</v>
      </c>
      <c r="R81" s="11">
        <v>2</v>
      </c>
      <c r="S81" s="11">
        <v>2</v>
      </c>
      <c r="T81" s="13">
        <f t="shared" si="0"/>
        <v>15.5</v>
      </c>
      <c r="U81" s="13">
        <f t="shared" si="1"/>
        <v>86.111111111111114</v>
      </c>
      <c r="V81" s="12">
        <v>1</v>
      </c>
      <c r="W81" s="12">
        <v>1</v>
      </c>
      <c r="X81" s="12">
        <v>1</v>
      </c>
      <c r="Y81" s="12">
        <v>1</v>
      </c>
      <c r="Z81" s="12">
        <v>1</v>
      </c>
      <c r="AA81" s="12">
        <v>1</v>
      </c>
      <c r="AB81" s="12">
        <v>1</v>
      </c>
      <c r="AC81" s="12">
        <v>1</v>
      </c>
      <c r="AD81" s="15">
        <f t="shared" si="2"/>
        <v>8</v>
      </c>
      <c r="AE81" s="15">
        <f t="shared" si="3"/>
        <v>100</v>
      </c>
      <c r="AF81" s="14">
        <v>5</v>
      </c>
      <c r="AG81" s="14">
        <v>5</v>
      </c>
      <c r="AH81" s="14">
        <v>4</v>
      </c>
      <c r="AI81" s="14">
        <v>4</v>
      </c>
      <c r="AJ81" s="14">
        <v>4</v>
      </c>
      <c r="AK81" s="14">
        <v>4</v>
      </c>
      <c r="AL81" s="14">
        <v>4</v>
      </c>
      <c r="AM81" s="14">
        <v>5</v>
      </c>
      <c r="AN81" s="14">
        <v>5</v>
      </c>
      <c r="AO81" s="17">
        <f t="shared" si="4"/>
        <v>40</v>
      </c>
      <c r="AP81" s="17">
        <f t="shared" si="5"/>
        <v>88.888888888888886</v>
      </c>
      <c r="AQ81" s="16">
        <v>5</v>
      </c>
      <c r="AR81" s="16">
        <v>3</v>
      </c>
      <c r="AS81" s="16">
        <v>2</v>
      </c>
      <c r="AT81" s="16">
        <v>4</v>
      </c>
      <c r="AU81" s="16">
        <v>1</v>
      </c>
      <c r="AV81" s="16">
        <v>4</v>
      </c>
      <c r="AW81" s="16">
        <v>4</v>
      </c>
      <c r="AX81" s="16">
        <v>4</v>
      </c>
      <c r="AY81" s="16">
        <v>5</v>
      </c>
      <c r="AZ81" s="16">
        <v>5</v>
      </c>
      <c r="BA81" s="18">
        <f t="shared" si="6"/>
        <v>37</v>
      </c>
      <c r="BB81" s="18">
        <f t="shared" si="7"/>
        <v>74</v>
      </c>
    </row>
    <row r="82" spans="1:54" ht="22.5" customHeight="1" x14ac:dyDescent="0.2">
      <c r="A82" s="9" t="s">
        <v>67</v>
      </c>
      <c r="B82" s="9" t="s">
        <v>68</v>
      </c>
      <c r="C82" s="9" t="s">
        <v>69</v>
      </c>
      <c r="D82" s="1" t="s">
        <v>70</v>
      </c>
      <c r="E82" s="9" t="s">
        <v>59</v>
      </c>
      <c r="F82" s="9" t="s">
        <v>60</v>
      </c>
      <c r="G82" s="9" t="s">
        <v>61</v>
      </c>
      <c r="H82" s="9" t="s">
        <v>57</v>
      </c>
      <c r="I82" s="9" t="s">
        <v>72</v>
      </c>
      <c r="J82" s="11">
        <v>1</v>
      </c>
      <c r="K82" s="11">
        <v>1</v>
      </c>
      <c r="L82" s="11">
        <v>2</v>
      </c>
      <c r="M82" s="11">
        <v>1</v>
      </c>
      <c r="N82" s="11">
        <v>2</v>
      </c>
      <c r="O82" s="11">
        <v>1</v>
      </c>
      <c r="P82" s="11">
        <v>1</v>
      </c>
      <c r="Q82" s="11">
        <v>0</v>
      </c>
      <c r="R82" s="11">
        <v>1</v>
      </c>
      <c r="S82" s="11">
        <v>2</v>
      </c>
      <c r="T82" s="13">
        <f t="shared" si="0"/>
        <v>12</v>
      </c>
      <c r="U82" s="13">
        <f t="shared" si="1"/>
        <v>66.666666666666657</v>
      </c>
      <c r="V82" s="12">
        <v>1</v>
      </c>
      <c r="W82" s="12">
        <v>1</v>
      </c>
      <c r="X82" s="12">
        <v>1</v>
      </c>
      <c r="Y82" s="12">
        <v>1</v>
      </c>
      <c r="Z82" s="12">
        <v>1</v>
      </c>
      <c r="AA82" s="12">
        <v>1</v>
      </c>
      <c r="AB82" s="12">
        <v>1</v>
      </c>
      <c r="AC82" s="12">
        <v>1</v>
      </c>
      <c r="AD82" s="15">
        <f t="shared" si="2"/>
        <v>8</v>
      </c>
      <c r="AE82" s="15">
        <f t="shared" si="3"/>
        <v>100</v>
      </c>
      <c r="AF82" s="14">
        <v>5</v>
      </c>
      <c r="AG82" s="14">
        <v>3</v>
      </c>
      <c r="AH82" s="14">
        <v>4</v>
      </c>
      <c r="AI82" s="14">
        <v>3</v>
      </c>
      <c r="AJ82" s="14">
        <v>4</v>
      </c>
      <c r="AK82" s="14">
        <v>4</v>
      </c>
      <c r="AL82" s="14">
        <v>5</v>
      </c>
      <c r="AM82" s="14">
        <v>5</v>
      </c>
      <c r="AN82" s="14">
        <v>4</v>
      </c>
      <c r="AO82" s="17">
        <f t="shared" si="4"/>
        <v>37</v>
      </c>
      <c r="AP82" s="17">
        <f t="shared" si="5"/>
        <v>82.222222222222214</v>
      </c>
      <c r="AQ82" s="16">
        <v>5</v>
      </c>
      <c r="AR82" s="16">
        <v>3</v>
      </c>
      <c r="AS82" s="16">
        <v>2</v>
      </c>
      <c r="AT82" s="16">
        <v>2</v>
      </c>
      <c r="AU82" s="16">
        <v>1</v>
      </c>
      <c r="AV82" s="16">
        <v>5</v>
      </c>
      <c r="AW82" s="16">
        <v>4</v>
      </c>
      <c r="AX82" s="16">
        <v>4</v>
      </c>
      <c r="AY82" s="16">
        <v>1</v>
      </c>
      <c r="AZ82" s="16">
        <v>4</v>
      </c>
      <c r="BA82" s="18">
        <f t="shared" si="6"/>
        <v>31</v>
      </c>
      <c r="BB82" s="18">
        <f t="shared" si="7"/>
        <v>62</v>
      </c>
    </row>
    <row r="83" spans="1:54" ht="22.5" customHeight="1" x14ac:dyDescent="0.2">
      <c r="A83" s="9" t="s">
        <v>74</v>
      </c>
      <c r="B83" s="9" t="s">
        <v>68</v>
      </c>
      <c r="C83" s="9" t="s">
        <v>69</v>
      </c>
      <c r="D83" s="1" t="s">
        <v>57</v>
      </c>
      <c r="E83" s="9" t="s">
        <v>92</v>
      </c>
      <c r="F83" s="9" t="s">
        <v>60</v>
      </c>
      <c r="G83" s="9" t="s">
        <v>76</v>
      </c>
      <c r="H83" s="9" t="s">
        <v>97</v>
      </c>
      <c r="I83" s="9" t="s">
        <v>62</v>
      </c>
      <c r="J83" s="11">
        <v>0</v>
      </c>
      <c r="K83" s="11">
        <v>0</v>
      </c>
      <c r="L83" s="11">
        <v>0</v>
      </c>
      <c r="M83" s="11">
        <v>1</v>
      </c>
      <c r="N83" s="11">
        <v>0.5</v>
      </c>
      <c r="O83" s="11">
        <v>0</v>
      </c>
      <c r="P83" s="11">
        <v>1.5</v>
      </c>
      <c r="Q83" s="11">
        <v>1</v>
      </c>
      <c r="R83" s="11">
        <v>0.5</v>
      </c>
      <c r="S83" s="11">
        <v>1.5</v>
      </c>
      <c r="T83" s="13">
        <f t="shared" si="0"/>
        <v>6</v>
      </c>
      <c r="U83" s="13">
        <f t="shared" si="1"/>
        <v>33.333333333333329</v>
      </c>
      <c r="V83" s="12">
        <v>1</v>
      </c>
      <c r="W83" s="12">
        <v>1</v>
      </c>
      <c r="X83" s="12">
        <v>1</v>
      </c>
      <c r="Y83" s="12">
        <v>1</v>
      </c>
      <c r="Z83" s="12">
        <v>1</v>
      </c>
      <c r="AA83" s="12">
        <v>1</v>
      </c>
      <c r="AB83" s="12">
        <v>0</v>
      </c>
      <c r="AC83" s="12">
        <v>1</v>
      </c>
      <c r="AD83" s="15">
        <f t="shared" si="2"/>
        <v>7</v>
      </c>
      <c r="AE83" s="15">
        <f t="shared" si="3"/>
        <v>87.5</v>
      </c>
      <c r="AF83" s="14">
        <v>5</v>
      </c>
      <c r="AG83" s="14">
        <v>5</v>
      </c>
      <c r="AH83" s="14">
        <v>3</v>
      </c>
      <c r="AI83" s="14">
        <v>4</v>
      </c>
      <c r="AJ83" s="14">
        <v>2</v>
      </c>
      <c r="AK83" s="14">
        <v>1</v>
      </c>
      <c r="AL83" s="14">
        <v>3</v>
      </c>
      <c r="AM83" s="14">
        <v>2</v>
      </c>
      <c r="AN83" s="14">
        <v>3</v>
      </c>
      <c r="AO83" s="17">
        <f t="shared" si="4"/>
        <v>28</v>
      </c>
      <c r="AP83" s="17">
        <f t="shared" si="5"/>
        <v>62.222222222222221</v>
      </c>
      <c r="AQ83" s="16">
        <v>5</v>
      </c>
      <c r="AR83" s="16">
        <v>5</v>
      </c>
      <c r="AS83" s="16">
        <v>5</v>
      </c>
      <c r="AT83" s="16">
        <v>5</v>
      </c>
      <c r="AU83" s="16">
        <v>5</v>
      </c>
      <c r="AV83" s="16">
        <v>5</v>
      </c>
      <c r="AW83" s="16">
        <v>5</v>
      </c>
      <c r="AX83" s="16">
        <v>5</v>
      </c>
      <c r="AY83" s="16">
        <v>5</v>
      </c>
      <c r="AZ83" s="16">
        <v>5</v>
      </c>
      <c r="BA83" s="18">
        <f t="shared" si="6"/>
        <v>50</v>
      </c>
      <c r="BB83" s="18">
        <f t="shared" si="7"/>
        <v>100</v>
      </c>
    </row>
    <row r="84" spans="1:54" ht="22.5" customHeight="1" x14ac:dyDescent="0.2">
      <c r="A84" s="9" t="s">
        <v>67</v>
      </c>
      <c r="B84" s="9" t="s">
        <v>68</v>
      </c>
      <c r="C84" s="9" t="s">
        <v>69</v>
      </c>
      <c r="D84" s="1" t="s">
        <v>100</v>
      </c>
      <c r="E84" s="9" t="s">
        <v>59</v>
      </c>
      <c r="F84" s="9" t="s">
        <v>59</v>
      </c>
      <c r="G84" s="9" t="s">
        <v>61</v>
      </c>
      <c r="H84" s="9" t="s">
        <v>86</v>
      </c>
      <c r="I84" s="9" t="s">
        <v>81</v>
      </c>
      <c r="J84" s="11">
        <v>1</v>
      </c>
      <c r="K84" s="11">
        <v>1</v>
      </c>
      <c r="L84" s="11">
        <v>3</v>
      </c>
      <c r="M84" s="11">
        <v>1</v>
      </c>
      <c r="N84" s="11">
        <v>2</v>
      </c>
      <c r="O84" s="11">
        <v>1</v>
      </c>
      <c r="P84" s="11">
        <v>1</v>
      </c>
      <c r="Q84" s="11">
        <v>1</v>
      </c>
      <c r="R84" s="11">
        <v>2</v>
      </c>
      <c r="S84" s="11">
        <v>2</v>
      </c>
      <c r="T84" s="13">
        <f t="shared" si="0"/>
        <v>15</v>
      </c>
      <c r="U84" s="13">
        <f t="shared" si="1"/>
        <v>83.333333333333343</v>
      </c>
      <c r="V84" s="12">
        <v>1</v>
      </c>
      <c r="W84" s="12">
        <v>1</v>
      </c>
      <c r="X84" s="12">
        <v>1</v>
      </c>
      <c r="Y84" s="12">
        <v>0</v>
      </c>
      <c r="Z84" s="12">
        <v>1</v>
      </c>
      <c r="AA84" s="12">
        <v>0</v>
      </c>
      <c r="AB84" s="12">
        <v>1</v>
      </c>
      <c r="AC84" s="12">
        <v>1</v>
      </c>
      <c r="AD84" s="15">
        <f t="shared" si="2"/>
        <v>6</v>
      </c>
      <c r="AE84" s="15">
        <f t="shared" si="3"/>
        <v>75</v>
      </c>
      <c r="AF84" s="14">
        <v>5</v>
      </c>
      <c r="AG84" s="14">
        <v>5</v>
      </c>
      <c r="AH84" s="14">
        <v>5</v>
      </c>
      <c r="AI84" s="14">
        <v>5</v>
      </c>
      <c r="AJ84" s="14">
        <v>5</v>
      </c>
      <c r="AK84" s="14">
        <v>5</v>
      </c>
      <c r="AL84" s="14">
        <v>5</v>
      </c>
      <c r="AM84" s="14">
        <v>5</v>
      </c>
      <c r="AN84" s="14">
        <v>5</v>
      </c>
      <c r="AO84" s="17">
        <f t="shared" si="4"/>
        <v>45</v>
      </c>
      <c r="AP84" s="17">
        <f t="shared" si="5"/>
        <v>100</v>
      </c>
      <c r="AQ84" s="16">
        <v>5</v>
      </c>
      <c r="AR84" s="16">
        <v>5</v>
      </c>
      <c r="AS84" s="16">
        <v>5</v>
      </c>
      <c r="AT84" s="16">
        <v>5</v>
      </c>
      <c r="AU84" s="16">
        <v>5</v>
      </c>
      <c r="AV84" s="16">
        <v>5</v>
      </c>
      <c r="AW84" s="16">
        <v>5</v>
      </c>
      <c r="AX84" s="16">
        <v>5</v>
      </c>
      <c r="AY84" s="16">
        <v>5</v>
      </c>
      <c r="AZ84" s="16">
        <v>5</v>
      </c>
      <c r="BA84" s="18">
        <f t="shared" si="6"/>
        <v>50</v>
      </c>
      <c r="BB84" s="18">
        <f t="shared" si="7"/>
        <v>100</v>
      </c>
    </row>
    <row r="85" spans="1:54" ht="22.5" customHeight="1" x14ac:dyDescent="0.2">
      <c r="A85" s="9" t="s">
        <v>52</v>
      </c>
      <c r="B85" s="9" t="s">
        <v>54</v>
      </c>
      <c r="C85" s="9" t="s">
        <v>55</v>
      </c>
      <c r="D85" s="1" t="s">
        <v>102</v>
      </c>
      <c r="E85" s="9" t="s">
        <v>60</v>
      </c>
      <c r="F85" s="9" t="s">
        <v>60</v>
      </c>
      <c r="G85" s="9" t="s">
        <v>61</v>
      </c>
      <c r="H85" s="9" t="s">
        <v>57</v>
      </c>
      <c r="I85" s="9" t="s">
        <v>62</v>
      </c>
      <c r="J85" s="11">
        <v>0</v>
      </c>
      <c r="K85" s="11">
        <v>0</v>
      </c>
      <c r="L85" s="11">
        <v>1</v>
      </c>
      <c r="M85" s="11">
        <v>1</v>
      </c>
      <c r="N85" s="11">
        <v>0.5</v>
      </c>
      <c r="O85" s="11">
        <v>0</v>
      </c>
      <c r="P85" s="11">
        <v>0.5</v>
      </c>
      <c r="Q85" s="11">
        <v>0</v>
      </c>
      <c r="R85" s="11">
        <v>1</v>
      </c>
      <c r="S85" s="11">
        <v>0.5</v>
      </c>
      <c r="T85" s="13">
        <f t="shared" si="0"/>
        <v>4.5</v>
      </c>
      <c r="U85" s="13">
        <f t="shared" si="1"/>
        <v>25</v>
      </c>
      <c r="V85" s="12">
        <v>1</v>
      </c>
      <c r="W85" s="12">
        <v>1</v>
      </c>
      <c r="X85" s="12">
        <v>1</v>
      </c>
      <c r="Y85" s="12">
        <v>0</v>
      </c>
      <c r="Z85" s="12">
        <v>1</v>
      </c>
      <c r="AA85" s="12">
        <v>0</v>
      </c>
      <c r="AB85" s="12">
        <v>1</v>
      </c>
      <c r="AC85" s="12">
        <v>1</v>
      </c>
      <c r="AD85" s="15">
        <f t="shared" si="2"/>
        <v>6</v>
      </c>
      <c r="AE85" s="15">
        <f t="shared" si="3"/>
        <v>75</v>
      </c>
      <c r="AF85" s="14">
        <v>5</v>
      </c>
      <c r="AG85" s="14">
        <v>4</v>
      </c>
      <c r="AH85" s="14">
        <v>4</v>
      </c>
      <c r="AI85" s="14">
        <v>4</v>
      </c>
      <c r="AJ85" s="14">
        <v>4</v>
      </c>
      <c r="AK85" s="14">
        <v>5</v>
      </c>
      <c r="AL85" s="14">
        <v>5</v>
      </c>
      <c r="AM85" s="14">
        <v>5</v>
      </c>
      <c r="AN85" s="14">
        <v>5</v>
      </c>
      <c r="AO85" s="17">
        <f t="shared" si="4"/>
        <v>41</v>
      </c>
      <c r="AP85" s="17">
        <f t="shared" si="5"/>
        <v>91.111111111111114</v>
      </c>
      <c r="AQ85" s="16">
        <v>2</v>
      </c>
      <c r="AR85" s="16">
        <v>1</v>
      </c>
      <c r="AS85" s="16">
        <v>2</v>
      </c>
      <c r="AT85" s="16">
        <v>4</v>
      </c>
      <c r="AU85" s="16">
        <v>1</v>
      </c>
      <c r="AV85" s="16">
        <v>3</v>
      </c>
      <c r="AW85" s="16">
        <v>4</v>
      </c>
      <c r="AX85" s="16">
        <v>4</v>
      </c>
      <c r="AY85" s="16">
        <v>5</v>
      </c>
      <c r="AZ85" s="16">
        <v>5</v>
      </c>
      <c r="BA85" s="18">
        <f t="shared" si="6"/>
        <v>31</v>
      </c>
      <c r="BB85" s="18">
        <f t="shared" si="7"/>
        <v>62</v>
      </c>
    </row>
    <row r="86" spans="1:54" ht="22.5" customHeight="1" x14ac:dyDescent="0.2">
      <c r="A86" s="9" t="s">
        <v>67</v>
      </c>
      <c r="B86" s="9" t="s">
        <v>54</v>
      </c>
      <c r="C86" s="9" t="s">
        <v>55</v>
      </c>
      <c r="D86" s="1" t="s">
        <v>70</v>
      </c>
      <c r="E86" s="9" t="s">
        <v>71</v>
      </c>
      <c r="F86" s="9" t="s">
        <v>60</v>
      </c>
      <c r="G86" s="9" t="s">
        <v>61</v>
      </c>
      <c r="H86" s="9" t="s">
        <v>57</v>
      </c>
      <c r="I86" s="9" t="s">
        <v>72</v>
      </c>
      <c r="J86" s="11">
        <v>1</v>
      </c>
      <c r="K86" s="11">
        <v>1</v>
      </c>
      <c r="L86" s="11">
        <v>4</v>
      </c>
      <c r="M86" s="11">
        <v>1</v>
      </c>
      <c r="N86" s="11">
        <v>1.5</v>
      </c>
      <c r="O86" s="11">
        <v>1</v>
      </c>
      <c r="P86" s="11">
        <v>2</v>
      </c>
      <c r="Q86" s="11">
        <v>1</v>
      </c>
      <c r="R86" s="11">
        <v>2</v>
      </c>
      <c r="S86" s="11">
        <v>2</v>
      </c>
      <c r="T86" s="13">
        <f t="shared" si="0"/>
        <v>16.5</v>
      </c>
      <c r="U86" s="13">
        <f t="shared" si="1"/>
        <v>91.666666666666657</v>
      </c>
      <c r="V86" s="12">
        <v>1</v>
      </c>
      <c r="W86" s="12">
        <v>1</v>
      </c>
      <c r="X86" s="12">
        <v>1</v>
      </c>
      <c r="Y86" s="12">
        <v>1</v>
      </c>
      <c r="Z86" s="12">
        <v>1</v>
      </c>
      <c r="AA86" s="12">
        <v>1</v>
      </c>
      <c r="AB86" s="12">
        <v>1</v>
      </c>
      <c r="AC86" s="12">
        <v>1</v>
      </c>
      <c r="AD86" s="15">
        <f t="shared" si="2"/>
        <v>8</v>
      </c>
      <c r="AE86" s="15">
        <f t="shared" si="3"/>
        <v>100</v>
      </c>
      <c r="AF86" s="14">
        <v>5</v>
      </c>
      <c r="AG86" s="14">
        <v>4</v>
      </c>
      <c r="AH86" s="14">
        <v>5</v>
      </c>
      <c r="AI86" s="14">
        <v>5</v>
      </c>
      <c r="AJ86" s="14">
        <v>4</v>
      </c>
      <c r="AK86" s="14">
        <v>5</v>
      </c>
      <c r="AL86" s="14">
        <v>5</v>
      </c>
      <c r="AM86" s="14">
        <v>5</v>
      </c>
      <c r="AN86" s="14">
        <v>5</v>
      </c>
      <c r="AO86" s="17">
        <f t="shared" si="4"/>
        <v>43</v>
      </c>
      <c r="AP86" s="17">
        <f t="shared" si="5"/>
        <v>95.555555555555557</v>
      </c>
      <c r="AQ86" s="16">
        <v>5</v>
      </c>
      <c r="AR86" s="16">
        <v>5</v>
      </c>
      <c r="AS86" s="16">
        <v>5</v>
      </c>
      <c r="AT86" s="16">
        <v>5</v>
      </c>
      <c r="AU86" s="16">
        <v>5</v>
      </c>
      <c r="AV86" s="16">
        <v>5</v>
      </c>
      <c r="AW86" s="16">
        <v>5</v>
      </c>
      <c r="AX86" s="16">
        <v>5</v>
      </c>
      <c r="AY86" s="16">
        <v>5</v>
      </c>
      <c r="AZ86" s="16">
        <v>5</v>
      </c>
      <c r="BA86" s="18">
        <f t="shared" si="6"/>
        <v>50</v>
      </c>
      <c r="BB86" s="18">
        <f t="shared" si="7"/>
        <v>100</v>
      </c>
    </row>
    <row r="87" spans="1:54" ht="22.5" customHeight="1" x14ac:dyDescent="0.2">
      <c r="A87" s="9" t="s">
        <v>74</v>
      </c>
      <c r="B87" s="9" t="s">
        <v>68</v>
      </c>
      <c r="C87" s="9" t="s">
        <v>55</v>
      </c>
      <c r="D87" s="1" t="s">
        <v>100</v>
      </c>
      <c r="E87" s="9" t="s">
        <v>71</v>
      </c>
      <c r="F87" s="9" t="s">
        <v>60</v>
      </c>
      <c r="G87" s="9" t="s">
        <v>61</v>
      </c>
      <c r="H87" s="9" t="s">
        <v>57</v>
      </c>
      <c r="I87" s="9" t="s">
        <v>72</v>
      </c>
      <c r="J87" s="11">
        <v>1</v>
      </c>
      <c r="K87" s="11">
        <v>1</v>
      </c>
      <c r="L87" s="11">
        <v>3</v>
      </c>
      <c r="M87" s="11">
        <v>1</v>
      </c>
      <c r="N87" s="11">
        <v>1.5</v>
      </c>
      <c r="O87" s="11">
        <v>1</v>
      </c>
      <c r="P87" s="11">
        <v>1</v>
      </c>
      <c r="Q87" s="11">
        <v>1</v>
      </c>
      <c r="R87" s="11">
        <v>1.5</v>
      </c>
      <c r="S87" s="11">
        <v>1.5</v>
      </c>
      <c r="T87" s="13">
        <f t="shared" si="0"/>
        <v>13.5</v>
      </c>
      <c r="U87" s="13">
        <f t="shared" si="1"/>
        <v>75</v>
      </c>
      <c r="V87" s="12">
        <v>1</v>
      </c>
      <c r="W87" s="12">
        <v>1</v>
      </c>
      <c r="X87" s="12">
        <v>1</v>
      </c>
      <c r="Y87" s="12">
        <v>0</v>
      </c>
      <c r="Z87" s="12">
        <v>1</v>
      </c>
      <c r="AA87" s="12">
        <v>1</v>
      </c>
      <c r="AB87" s="12">
        <v>1</v>
      </c>
      <c r="AC87" s="12">
        <v>1</v>
      </c>
      <c r="AD87" s="15">
        <f t="shared" si="2"/>
        <v>7</v>
      </c>
      <c r="AE87" s="15">
        <f t="shared" si="3"/>
        <v>87.5</v>
      </c>
      <c r="AF87" s="14">
        <v>5</v>
      </c>
      <c r="AG87" s="14">
        <v>5</v>
      </c>
      <c r="AH87" s="14">
        <v>5</v>
      </c>
      <c r="AI87" s="14">
        <v>3</v>
      </c>
      <c r="AJ87" s="14">
        <v>4</v>
      </c>
      <c r="AK87" s="14">
        <v>4</v>
      </c>
      <c r="AL87" s="14">
        <v>4</v>
      </c>
      <c r="AM87" s="14">
        <v>4</v>
      </c>
      <c r="AN87" s="14">
        <v>5</v>
      </c>
      <c r="AO87" s="17">
        <f t="shared" si="4"/>
        <v>39</v>
      </c>
      <c r="AP87" s="17">
        <f t="shared" si="5"/>
        <v>86.666666666666671</v>
      </c>
      <c r="AQ87" s="16">
        <v>4</v>
      </c>
      <c r="AR87" s="16">
        <v>3</v>
      </c>
      <c r="AS87" s="16">
        <v>2</v>
      </c>
      <c r="AT87" s="16">
        <v>3</v>
      </c>
      <c r="AU87" s="16">
        <v>1</v>
      </c>
      <c r="AV87" s="16">
        <v>5</v>
      </c>
      <c r="AW87" s="16">
        <v>5</v>
      </c>
      <c r="AX87" s="16">
        <v>5</v>
      </c>
      <c r="AY87" s="16">
        <v>5</v>
      </c>
      <c r="AZ87" s="16">
        <v>5</v>
      </c>
      <c r="BA87" s="18">
        <f t="shared" si="6"/>
        <v>38</v>
      </c>
      <c r="BB87" s="18">
        <f t="shared" si="7"/>
        <v>76</v>
      </c>
    </row>
    <row r="88" spans="1:54" ht="22.5" customHeight="1" x14ac:dyDescent="0.2">
      <c r="A88" s="9" t="s">
        <v>67</v>
      </c>
      <c r="B88" s="9" t="s">
        <v>68</v>
      </c>
      <c r="C88" s="9" t="s">
        <v>55</v>
      </c>
      <c r="D88" s="1" t="s">
        <v>100</v>
      </c>
      <c r="E88" s="9" t="s">
        <v>59</v>
      </c>
      <c r="F88" s="9" t="s">
        <v>60</v>
      </c>
      <c r="G88" s="9" t="s">
        <v>61</v>
      </c>
      <c r="H88" s="9" t="s">
        <v>57</v>
      </c>
      <c r="I88" s="9" t="s">
        <v>72</v>
      </c>
      <c r="J88" s="11">
        <v>1</v>
      </c>
      <c r="K88" s="11">
        <v>1</v>
      </c>
      <c r="L88" s="11">
        <v>2</v>
      </c>
      <c r="M88" s="11">
        <v>1</v>
      </c>
      <c r="N88" s="11">
        <v>2</v>
      </c>
      <c r="O88" s="11">
        <v>1</v>
      </c>
      <c r="P88" s="11">
        <v>1.5</v>
      </c>
      <c r="Q88" s="11">
        <v>1</v>
      </c>
      <c r="R88" s="11">
        <v>1</v>
      </c>
      <c r="S88" s="11">
        <v>1.5</v>
      </c>
      <c r="T88" s="13">
        <f t="shared" si="0"/>
        <v>13</v>
      </c>
      <c r="U88" s="13">
        <f t="shared" si="1"/>
        <v>72.222222222222214</v>
      </c>
      <c r="V88" s="12">
        <v>1</v>
      </c>
      <c r="W88" s="12">
        <v>1</v>
      </c>
      <c r="X88" s="12">
        <v>1</v>
      </c>
      <c r="Y88" s="12">
        <v>0</v>
      </c>
      <c r="Z88" s="12">
        <v>1</v>
      </c>
      <c r="AA88" s="12">
        <v>1</v>
      </c>
      <c r="AB88" s="12">
        <v>1</v>
      </c>
      <c r="AC88" s="12">
        <v>1</v>
      </c>
      <c r="AD88" s="15">
        <f t="shared" si="2"/>
        <v>7</v>
      </c>
      <c r="AE88" s="15">
        <f t="shared" si="3"/>
        <v>87.5</v>
      </c>
      <c r="AF88" s="14">
        <v>5</v>
      </c>
      <c r="AG88" s="14">
        <v>5</v>
      </c>
      <c r="AH88" s="14">
        <v>3</v>
      </c>
      <c r="AI88" s="14">
        <v>4</v>
      </c>
      <c r="AJ88" s="14">
        <v>5</v>
      </c>
      <c r="AK88" s="14">
        <v>5</v>
      </c>
      <c r="AL88" s="14">
        <v>5</v>
      </c>
      <c r="AM88" s="14">
        <v>5</v>
      </c>
      <c r="AN88" s="14">
        <v>5</v>
      </c>
      <c r="AO88" s="17">
        <f t="shared" si="4"/>
        <v>42</v>
      </c>
      <c r="AP88" s="17">
        <f t="shared" si="5"/>
        <v>93.333333333333329</v>
      </c>
      <c r="AQ88" s="16">
        <v>5</v>
      </c>
      <c r="AR88" s="16">
        <v>3</v>
      </c>
      <c r="AS88" s="16">
        <v>2</v>
      </c>
      <c r="AT88" s="16">
        <v>4</v>
      </c>
      <c r="AU88" s="16">
        <v>5</v>
      </c>
      <c r="AV88" s="16">
        <v>5</v>
      </c>
      <c r="AW88" s="16">
        <v>4</v>
      </c>
      <c r="AX88" s="16">
        <v>3</v>
      </c>
      <c r="AY88" s="16">
        <v>5</v>
      </c>
      <c r="AZ88" s="16">
        <v>4</v>
      </c>
      <c r="BA88" s="18">
        <f t="shared" si="6"/>
        <v>40</v>
      </c>
      <c r="BB88" s="18">
        <f t="shared" si="7"/>
        <v>80</v>
      </c>
    </row>
    <row r="89" spans="1:54" ht="22.5" customHeight="1" x14ac:dyDescent="0.2">
      <c r="A89" s="9" t="s">
        <v>74</v>
      </c>
      <c r="B89" s="9" t="s">
        <v>68</v>
      </c>
      <c r="C89" s="9" t="s">
        <v>69</v>
      </c>
      <c r="D89" s="1" t="s">
        <v>57</v>
      </c>
      <c r="E89" s="9" t="s">
        <v>59</v>
      </c>
      <c r="F89" s="9" t="s">
        <v>59</v>
      </c>
      <c r="G89" s="9" t="s">
        <v>76</v>
      </c>
      <c r="H89" s="9" t="s">
        <v>57</v>
      </c>
      <c r="I89" s="9" t="s">
        <v>96</v>
      </c>
      <c r="J89" s="11">
        <v>1</v>
      </c>
      <c r="K89" s="11">
        <v>1</v>
      </c>
      <c r="L89" s="11">
        <v>3</v>
      </c>
      <c r="M89" s="11">
        <v>0</v>
      </c>
      <c r="N89" s="11">
        <v>1.5</v>
      </c>
      <c r="O89" s="11">
        <v>1</v>
      </c>
      <c r="P89" s="11">
        <v>1.5</v>
      </c>
      <c r="Q89" s="11">
        <v>0</v>
      </c>
      <c r="R89" s="11">
        <v>1.5</v>
      </c>
      <c r="S89" s="11">
        <v>2</v>
      </c>
      <c r="T89" s="13">
        <f t="shared" si="0"/>
        <v>12.5</v>
      </c>
      <c r="U89" s="13">
        <f t="shared" si="1"/>
        <v>69.444444444444443</v>
      </c>
      <c r="V89" s="12">
        <v>1</v>
      </c>
      <c r="W89" s="12">
        <v>1</v>
      </c>
      <c r="X89" s="12">
        <v>1</v>
      </c>
      <c r="Y89" s="12">
        <v>1</v>
      </c>
      <c r="Z89" s="12">
        <v>1</v>
      </c>
      <c r="AA89" s="12">
        <v>1</v>
      </c>
      <c r="AB89" s="12">
        <v>1</v>
      </c>
      <c r="AC89" s="12">
        <v>1</v>
      </c>
      <c r="AD89" s="15">
        <f t="shared" si="2"/>
        <v>8</v>
      </c>
      <c r="AE89" s="15">
        <f t="shared" si="3"/>
        <v>100</v>
      </c>
      <c r="AF89" s="14">
        <v>5</v>
      </c>
      <c r="AG89" s="14">
        <v>5</v>
      </c>
      <c r="AH89" s="14">
        <v>3</v>
      </c>
      <c r="AI89" s="14">
        <v>5</v>
      </c>
      <c r="AJ89" s="14">
        <v>4</v>
      </c>
      <c r="AK89" s="14">
        <v>4</v>
      </c>
      <c r="AL89" s="14">
        <v>4</v>
      </c>
      <c r="AM89" s="14">
        <v>4</v>
      </c>
      <c r="AN89" s="14">
        <v>4</v>
      </c>
      <c r="AO89" s="17">
        <f t="shared" si="4"/>
        <v>38</v>
      </c>
      <c r="AP89" s="17">
        <f t="shared" si="5"/>
        <v>84.444444444444443</v>
      </c>
      <c r="AQ89" s="16">
        <v>5</v>
      </c>
      <c r="AR89" s="16">
        <v>5</v>
      </c>
      <c r="AS89" s="16">
        <v>5</v>
      </c>
      <c r="AT89" s="16">
        <v>5</v>
      </c>
      <c r="AU89" s="16">
        <v>5</v>
      </c>
      <c r="AV89" s="16">
        <v>5</v>
      </c>
      <c r="AW89" s="16">
        <v>5</v>
      </c>
      <c r="AX89" s="16">
        <v>5</v>
      </c>
      <c r="AY89" s="16">
        <v>5</v>
      </c>
      <c r="AZ89" s="16">
        <v>4</v>
      </c>
      <c r="BA89" s="18">
        <f t="shared" si="6"/>
        <v>49</v>
      </c>
      <c r="BB89" s="18">
        <f t="shared" si="7"/>
        <v>98</v>
      </c>
    </row>
    <row r="90" spans="1:54" ht="22.5" customHeight="1" x14ac:dyDescent="0.2">
      <c r="A90" s="9" t="s">
        <v>93</v>
      </c>
      <c r="B90" s="9" t="s">
        <v>68</v>
      </c>
      <c r="C90" s="9" t="s">
        <v>55</v>
      </c>
      <c r="D90" s="1" t="s">
        <v>75</v>
      </c>
      <c r="E90" s="9" t="s">
        <v>71</v>
      </c>
      <c r="F90" s="9" t="s">
        <v>60</v>
      </c>
      <c r="G90" s="9" t="s">
        <v>61</v>
      </c>
      <c r="H90" s="9" t="s">
        <v>57</v>
      </c>
      <c r="I90" s="9" t="s">
        <v>72</v>
      </c>
      <c r="J90" s="11">
        <v>1</v>
      </c>
      <c r="K90" s="11">
        <v>1</v>
      </c>
      <c r="L90" s="11">
        <v>1</v>
      </c>
      <c r="M90" s="11">
        <v>1</v>
      </c>
      <c r="N90" s="11">
        <v>1.5</v>
      </c>
      <c r="O90" s="11">
        <v>0</v>
      </c>
      <c r="P90" s="11">
        <v>1</v>
      </c>
      <c r="Q90" s="11">
        <v>0</v>
      </c>
      <c r="R90" s="11">
        <v>1.5</v>
      </c>
      <c r="S90" s="11">
        <v>0.5</v>
      </c>
      <c r="T90" s="13">
        <f t="shared" si="0"/>
        <v>8.5</v>
      </c>
      <c r="U90" s="13">
        <f t="shared" si="1"/>
        <v>47.222222222222221</v>
      </c>
      <c r="V90" s="12">
        <v>1</v>
      </c>
      <c r="W90" s="12">
        <v>1</v>
      </c>
      <c r="X90" s="12">
        <v>0</v>
      </c>
      <c r="Y90" s="12">
        <v>0</v>
      </c>
      <c r="Z90" s="12">
        <v>1</v>
      </c>
      <c r="AA90" s="12">
        <v>0</v>
      </c>
      <c r="AB90" s="12">
        <v>1</v>
      </c>
      <c r="AC90" s="12">
        <v>0</v>
      </c>
      <c r="AD90" s="15">
        <f t="shared" si="2"/>
        <v>4</v>
      </c>
      <c r="AE90" s="15">
        <f t="shared" si="3"/>
        <v>50</v>
      </c>
      <c r="AF90" s="14">
        <v>5</v>
      </c>
      <c r="AG90" s="14">
        <v>5</v>
      </c>
      <c r="AH90" s="14">
        <v>2</v>
      </c>
      <c r="AI90" s="14">
        <v>2</v>
      </c>
      <c r="AJ90" s="14">
        <v>5</v>
      </c>
      <c r="AK90" s="14">
        <v>5</v>
      </c>
      <c r="AL90" s="14">
        <v>5</v>
      </c>
      <c r="AM90" s="14">
        <v>5</v>
      </c>
      <c r="AN90" s="14">
        <v>5</v>
      </c>
      <c r="AO90" s="17">
        <f t="shared" si="4"/>
        <v>39</v>
      </c>
      <c r="AP90" s="17">
        <f t="shared" si="5"/>
        <v>86.666666666666671</v>
      </c>
      <c r="AQ90" s="16">
        <v>2</v>
      </c>
      <c r="AR90" s="16">
        <v>2</v>
      </c>
      <c r="AS90" s="16">
        <v>2</v>
      </c>
      <c r="AT90" s="16">
        <v>3</v>
      </c>
      <c r="AU90" s="16">
        <v>1</v>
      </c>
      <c r="AV90" s="16">
        <v>3</v>
      </c>
      <c r="AW90" s="16">
        <v>3</v>
      </c>
      <c r="AX90" s="16">
        <v>2</v>
      </c>
      <c r="AY90" s="16">
        <v>1</v>
      </c>
      <c r="AZ90" s="16">
        <v>2</v>
      </c>
      <c r="BA90" s="18">
        <f t="shared" si="6"/>
        <v>21</v>
      </c>
      <c r="BB90" s="18">
        <f t="shared" si="7"/>
        <v>42</v>
      </c>
    </row>
    <row r="91" spans="1:54" ht="22.5" customHeight="1" x14ac:dyDescent="0.2">
      <c r="A91" s="9" t="s">
        <v>52</v>
      </c>
      <c r="B91" s="9" t="s">
        <v>68</v>
      </c>
      <c r="C91" s="9" t="s">
        <v>55</v>
      </c>
      <c r="D91" s="1" t="s">
        <v>70</v>
      </c>
      <c r="E91" s="9" t="s">
        <v>59</v>
      </c>
      <c r="F91" s="9" t="s">
        <v>60</v>
      </c>
      <c r="G91" s="9" t="s">
        <v>61</v>
      </c>
      <c r="H91" s="9" t="s">
        <v>57</v>
      </c>
      <c r="I91" s="9" t="s">
        <v>72</v>
      </c>
      <c r="J91" s="11">
        <v>1</v>
      </c>
      <c r="K91" s="11">
        <v>1</v>
      </c>
      <c r="L91" s="11">
        <v>2</v>
      </c>
      <c r="M91" s="11">
        <v>0.5</v>
      </c>
      <c r="N91" s="11">
        <v>1.5</v>
      </c>
      <c r="O91" s="11">
        <v>0</v>
      </c>
      <c r="P91" s="11">
        <v>0.5</v>
      </c>
      <c r="Q91" s="11">
        <v>0</v>
      </c>
      <c r="R91" s="11">
        <v>1.5</v>
      </c>
      <c r="S91" s="11">
        <v>1</v>
      </c>
      <c r="T91" s="13">
        <f t="shared" si="0"/>
        <v>9</v>
      </c>
      <c r="U91" s="13">
        <f t="shared" si="1"/>
        <v>50</v>
      </c>
      <c r="V91" s="12">
        <v>1</v>
      </c>
      <c r="W91" s="12">
        <v>1</v>
      </c>
      <c r="X91" s="12">
        <v>1</v>
      </c>
      <c r="Y91" s="12">
        <v>1</v>
      </c>
      <c r="Z91" s="12">
        <v>1</v>
      </c>
      <c r="AA91" s="12">
        <v>0</v>
      </c>
      <c r="AB91" s="12">
        <v>1</v>
      </c>
      <c r="AC91" s="12">
        <v>1</v>
      </c>
      <c r="AD91" s="15">
        <f t="shared" si="2"/>
        <v>7</v>
      </c>
      <c r="AE91" s="15">
        <f t="shared" si="3"/>
        <v>87.5</v>
      </c>
      <c r="AF91" s="14">
        <v>5</v>
      </c>
      <c r="AG91" s="14">
        <v>5</v>
      </c>
      <c r="AH91" s="14">
        <v>3</v>
      </c>
      <c r="AI91" s="14">
        <v>3</v>
      </c>
      <c r="AJ91" s="14">
        <v>5</v>
      </c>
      <c r="AK91" s="14">
        <v>5</v>
      </c>
      <c r="AL91" s="14">
        <v>5</v>
      </c>
      <c r="AM91" s="14">
        <v>5</v>
      </c>
      <c r="AN91" s="14">
        <v>5</v>
      </c>
      <c r="AO91" s="17">
        <f t="shared" si="4"/>
        <v>41</v>
      </c>
      <c r="AP91" s="17">
        <f t="shared" si="5"/>
        <v>91.111111111111114</v>
      </c>
      <c r="AQ91" s="16">
        <v>2</v>
      </c>
      <c r="AR91" s="16">
        <v>3</v>
      </c>
      <c r="AS91" s="16">
        <v>1</v>
      </c>
      <c r="AT91" s="16">
        <v>3</v>
      </c>
      <c r="AU91" s="16">
        <v>5</v>
      </c>
      <c r="AV91" s="16">
        <v>2</v>
      </c>
      <c r="AW91" s="16">
        <v>3</v>
      </c>
      <c r="AX91" s="16">
        <v>3</v>
      </c>
      <c r="AY91" s="16">
        <v>1</v>
      </c>
      <c r="AZ91" s="16">
        <v>3</v>
      </c>
      <c r="BA91" s="18">
        <f t="shared" si="6"/>
        <v>26</v>
      </c>
      <c r="BB91" s="18">
        <f t="shared" si="7"/>
        <v>52</v>
      </c>
    </row>
    <row r="92" spans="1:54" ht="22.5" customHeight="1" x14ac:dyDescent="0.2">
      <c r="A92" s="9" t="s">
        <v>74</v>
      </c>
      <c r="B92" s="9" t="s">
        <v>68</v>
      </c>
      <c r="C92" s="9" t="s">
        <v>69</v>
      </c>
      <c r="D92" s="1" t="s">
        <v>70</v>
      </c>
      <c r="E92" s="9" t="s">
        <v>60</v>
      </c>
      <c r="F92" s="9" t="s">
        <v>92</v>
      </c>
      <c r="G92" s="9" t="s">
        <v>61</v>
      </c>
      <c r="H92" s="9" t="s">
        <v>57</v>
      </c>
      <c r="I92" s="9" t="s">
        <v>62</v>
      </c>
      <c r="J92" s="11">
        <v>1</v>
      </c>
      <c r="K92" s="11">
        <v>1</v>
      </c>
      <c r="L92" s="11">
        <v>2</v>
      </c>
      <c r="M92" s="11">
        <v>2</v>
      </c>
      <c r="N92" s="11">
        <v>1</v>
      </c>
      <c r="O92" s="11">
        <v>1</v>
      </c>
      <c r="P92" s="11">
        <v>1</v>
      </c>
      <c r="Q92" s="11">
        <v>1</v>
      </c>
      <c r="R92" s="11">
        <v>1.5</v>
      </c>
      <c r="S92" s="11">
        <v>1.5</v>
      </c>
      <c r="T92" s="13">
        <f t="shared" si="0"/>
        <v>13</v>
      </c>
      <c r="U92" s="13">
        <f t="shared" si="1"/>
        <v>72.222222222222214</v>
      </c>
      <c r="V92" s="12">
        <v>1</v>
      </c>
      <c r="W92" s="12">
        <v>1</v>
      </c>
      <c r="X92" s="12">
        <v>1</v>
      </c>
      <c r="Y92" s="12">
        <v>1</v>
      </c>
      <c r="Z92" s="12">
        <v>1</v>
      </c>
      <c r="AA92" s="12">
        <v>1</v>
      </c>
      <c r="AB92" s="12">
        <v>1</v>
      </c>
      <c r="AC92" s="12">
        <v>1</v>
      </c>
      <c r="AD92" s="15">
        <f t="shared" si="2"/>
        <v>8</v>
      </c>
      <c r="AE92" s="15">
        <f t="shared" si="3"/>
        <v>100</v>
      </c>
      <c r="AF92" s="14">
        <v>5</v>
      </c>
      <c r="AG92" s="14">
        <v>5</v>
      </c>
      <c r="AH92" s="14">
        <v>4</v>
      </c>
      <c r="AI92" s="14">
        <v>4</v>
      </c>
      <c r="AJ92" s="14">
        <v>4</v>
      </c>
      <c r="AK92" s="14">
        <v>5</v>
      </c>
      <c r="AL92" s="14">
        <v>5</v>
      </c>
      <c r="AM92" s="14">
        <v>4</v>
      </c>
      <c r="AN92" s="14">
        <v>5</v>
      </c>
      <c r="AO92" s="17">
        <f t="shared" si="4"/>
        <v>41</v>
      </c>
      <c r="AP92" s="17">
        <f t="shared" si="5"/>
        <v>91.111111111111114</v>
      </c>
      <c r="AQ92" s="16">
        <v>5</v>
      </c>
      <c r="AR92" s="16">
        <v>5</v>
      </c>
      <c r="AS92" s="16">
        <v>3</v>
      </c>
      <c r="AT92" s="16">
        <v>4</v>
      </c>
      <c r="AU92" s="16">
        <v>5</v>
      </c>
      <c r="AV92" s="16">
        <v>5</v>
      </c>
      <c r="AW92" s="16">
        <v>5</v>
      </c>
      <c r="AX92" s="16">
        <v>5</v>
      </c>
      <c r="AY92" s="16">
        <v>5</v>
      </c>
      <c r="AZ92" s="16">
        <v>5</v>
      </c>
      <c r="BA92" s="18">
        <f t="shared" si="6"/>
        <v>47</v>
      </c>
      <c r="BB92" s="18">
        <f t="shared" si="7"/>
        <v>94</v>
      </c>
    </row>
    <row r="93" spans="1:54" ht="22.5" customHeight="1" x14ac:dyDescent="0.2">
      <c r="A93" s="9" t="s">
        <v>52</v>
      </c>
      <c r="B93" s="9" t="s">
        <v>54</v>
      </c>
      <c r="C93" s="9" t="s">
        <v>55</v>
      </c>
      <c r="D93" s="1" t="s">
        <v>100</v>
      </c>
      <c r="E93" s="9" t="s">
        <v>71</v>
      </c>
      <c r="F93" s="9" t="s">
        <v>92</v>
      </c>
      <c r="G93" s="9" t="s">
        <v>61</v>
      </c>
      <c r="H93" s="9" t="s">
        <v>57</v>
      </c>
      <c r="I93" s="9" t="s">
        <v>72</v>
      </c>
      <c r="J93" s="11">
        <v>1</v>
      </c>
      <c r="K93" s="11">
        <v>1</v>
      </c>
      <c r="L93" s="11">
        <v>2</v>
      </c>
      <c r="M93" s="11">
        <v>0.5</v>
      </c>
      <c r="N93" s="11">
        <v>1.5</v>
      </c>
      <c r="O93" s="11">
        <v>1</v>
      </c>
      <c r="P93" s="11">
        <v>1.5</v>
      </c>
      <c r="Q93" s="11">
        <v>1</v>
      </c>
      <c r="R93" s="11">
        <v>1.5</v>
      </c>
      <c r="S93" s="11">
        <v>2</v>
      </c>
      <c r="T93" s="13">
        <f t="shared" si="0"/>
        <v>13</v>
      </c>
      <c r="U93" s="13">
        <f t="shared" si="1"/>
        <v>72.222222222222214</v>
      </c>
      <c r="V93" s="12">
        <v>1</v>
      </c>
      <c r="W93" s="12">
        <v>1</v>
      </c>
      <c r="X93" s="12">
        <v>1</v>
      </c>
      <c r="Y93" s="12">
        <v>1</v>
      </c>
      <c r="Z93" s="12">
        <v>1</v>
      </c>
      <c r="AA93" s="12">
        <v>1</v>
      </c>
      <c r="AB93" s="12">
        <v>1</v>
      </c>
      <c r="AC93" s="12">
        <v>1</v>
      </c>
      <c r="AD93" s="15">
        <f t="shared" si="2"/>
        <v>8</v>
      </c>
      <c r="AE93" s="15">
        <f t="shared" si="3"/>
        <v>100</v>
      </c>
      <c r="AF93" s="14">
        <v>4</v>
      </c>
      <c r="AG93" s="14">
        <v>4</v>
      </c>
      <c r="AH93" s="14">
        <v>5</v>
      </c>
      <c r="AI93" s="14">
        <v>5</v>
      </c>
      <c r="AJ93" s="14">
        <v>5</v>
      </c>
      <c r="AK93" s="14">
        <v>5</v>
      </c>
      <c r="AL93" s="14">
        <v>5</v>
      </c>
      <c r="AM93" s="14">
        <v>4</v>
      </c>
      <c r="AN93" s="14">
        <v>4</v>
      </c>
      <c r="AO93" s="17">
        <f t="shared" si="4"/>
        <v>41</v>
      </c>
      <c r="AP93" s="17">
        <f t="shared" si="5"/>
        <v>91.111111111111114</v>
      </c>
      <c r="AQ93" s="16">
        <v>5</v>
      </c>
      <c r="AR93" s="16">
        <v>4</v>
      </c>
      <c r="AS93" s="16">
        <v>4</v>
      </c>
      <c r="AT93" s="16">
        <v>4</v>
      </c>
      <c r="AU93" s="16">
        <v>5</v>
      </c>
      <c r="AV93" s="16">
        <v>3</v>
      </c>
      <c r="AW93" s="16">
        <v>3</v>
      </c>
      <c r="AX93" s="16">
        <v>3</v>
      </c>
      <c r="AY93" s="16">
        <v>5</v>
      </c>
      <c r="AZ93" s="16">
        <v>5</v>
      </c>
      <c r="BA93" s="18">
        <f t="shared" si="6"/>
        <v>41</v>
      </c>
      <c r="BB93" s="18">
        <f t="shared" si="7"/>
        <v>82</v>
      </c>
    </row>
    <row r="94" spans="1:54" ht="22.5" customHeight="1" x14ac:dyDescent="0.2">
      <c r="A94" s="9" t="s">
        <v>93</v>
      </c>
      <c r="B94" s="9" t="s">
        <v>54</v>
      </c>
      <c r="C94" s="9" t="s">
        <v>55</v>
      </c>
      <c r="D94" s="1" t="s">
        <v>57</v>
      </c>
      <c r="E94" s="9" t="s">
        <v>60</v>
      </c>
      <c r="F94" s="9" t="s">
        <v>85</v>
      </c>
      <c r="G94" s="9" t="s">
        <v>76</v>
      </c>
      <c r="H94" s="9" t="s">
        <v>99</v>
      </c>
      <c r="I94" s="9" t="s">
        <v>96</v>
      </c>
      <c r="J94" s="11">
        <v>0</v>
      </c>
      <c r="K94" s="11">
        <v>0</v>
      </c>
      <c r="L94" s="11">
        <v>2</v>
      </c>
      <c r="M94" s="11">
        <v>0.5</v>
      </c>
      <c r="N94" s="11">
        <v>1</v>
      </c>
      <c r="O94" s="11">
        <v>0</v>
      </c>
      <c r="P94" s="11">
        <v>1</v>
      </c>
      <c r="Q94" s="11">
        <v>1</v>
      </c>
      <c r="R94" s="11">
        <v>0</v>
      </c>
      <c r="S94" s="11">
        <v>0.5</v>
      </c>
      <c r="T94" s="13">
        <f t="shared" si="0"/>
        <v>6</v>
      </c>
      <c r="U94" s="13">
        <f t="shared" si="1"/>
        <v>33.333333333333329</v>
      </c>
      <c r="V94" s="12">
        <v>0</v>
      </c>
      <c r="W94" s="12">
        <v>1</v>
      </c>
      <c r="X94" s="12">
        <v>0</v>
      </c>
      <c r="Y94" s="12">
        <v>0</v>
      </c>
      <c r="Z94" s="12">
        <v>0</v>
      </c>
      <c r="AA94" s="12">
        <v>1</v>
      </c>
      <c r="AB94" s="12">
        <v>0</v>
      </c>
      <c r="AC94" s="12">
        <v>1</v>
      </c>
      <c r="AD94" s="15">
        <f t="shared" si="2"/>
        <v>3</v>
      </c>
      <c r="AE94" s="15">
        <f t="shared" si="3"/>
        <v>37.5</v>
      </c>
      <c r="AF94" s="14">
        <v>4</v>
      </c>
      <c r="AG94" s="14">
        <v>3</v>
      </c>
      <c r="AH94" s="14">
        <v>2</v>
      </c>
      <c r="AI94" s="14">
        <v>4</v>
      </c>
      <c r="AJ94" s="14">
        <v>3</v>
      </c>
      <c r="AK94" s="14">
        <v>2</v>
      </c>
      <c r="AL94" s="14">
        <v>1</v>
      </c>
      <c r="AM94" s="14">
        <v>1</v>
      </c>
      <c r="AN94" s="14">
        <v>3</v>
      </c>
      <c r="AO94" s="17">
        <f t="shared" si="4"/>
        <v>23</v>
      </c>
      <c r="AP94" s="17">
        <f t="shared" si="5"/>
        <v>51.111111111111107</v>
      </c>
      <c r="AQ94" s="16">
        <v>1</v>
      </c>
      <c r="AR94" s="16">
        <v>3</v>
      </c>
      <c r="AS94" s="16">
        <v>4</v>
      </c>
      <c r="AT94" s="16">
        <v>3</v>
      </c>
      <c r="AU94" s="16">
        <v>5</v>
      </c>
      <c r="AV94" s="16">
        <v>4</v>
      </c>
      <c r="AW94" s="16">
        <v>1</v>
      </c>
      <c r="AX94" s="16">
        <v>2</v>
      </c>
      <c r="AY94" s="16">
        <v>1</v>
      </c>
      <c r="AZ94" s="16">
        <v>2</v>
      </c>
      <c r="BA94" s="18">
        <f t="shared" si="6"/>
        <v>26</v>
      </c>
      <c r="BB94" s="18">
        <f t="shared" si="7"/>
        <v>52</v>
      </c>
    </row>
    <row r="95" spans="1:54" ht="22.5" customHeight="1" x14ac:dyDescent="0.2">
      <c r="A95" s="9" t="s">
        <v>52</v>
      </c>
      <c r="B95" s="9" t="s">
        <v>68</v>
      </c>
      <c r="C95" s="9" t="s">
        <v>69</v>
      </c>
      <c r="D95" s="1" t="s">
        <v>84</v>
      </c>
      <c r="E95" s="9" t="s">
        <v>85</v>
      </c>
      <c r="F95" s="9" t="s">
        <v>92</v>
      </c>
      <c r="G95" s="9" t="s">
        <v>86</v>
      </c>
      <c r="H95" s="9" t="s">
        <v>57</v>
      </c>
      <c r="I95" s="9" t="s">
        <v>72</v>
      </c>
      <c r="J95" s="11">
        <v>0</v>
      </c>
      <c r="K95" s="11">
        <v>1</v>
      </c>
      <c r="L95" s="11">
        <v>2</v>
      </c>
      <c r="M95" s="11">
        <v>2</v>
      </c>
      <c r="N95" s="11">
        <v>1.5</v>
      </c>
      <c r="O95" s="11">
        <v>1</v>
      </c>
      <c r="P95" s="11">
        <v>1</v>
      </c>
      <c r="Q95" s="11">
        <v>0</v>
      </c>
      <c r="R95" s="11">
        <v>1</v>
      </c>
      <c r="S95" s="11">
        <v>0.5</v>
      </c>
      <c r="T95" s="13">
        <f t="shared" si="0"/>
        <v>10</v>
      </c>
      <c r="U95" s="13">
        <f t="shared" si="1"/>
        <v>55.555555555555557</v>
      </c>
      <c r="V95" s="12">
        <v>1</v>
      </c>
      <c r="W95" s="12">
        <v>0</v>
      </c>
      <c r="X95" s="12">
        <v>1</v>
      </c>
      <c r="Y95" s="12">
        <v>0</v>
      </c>
      <c r="Z95" s="12">
        <v>0</v>
      </c>
      <c r="AA95" s="12">
        <v>0</v>
      </c>
      <c r="AB95" s="12">
        <v>1</v>
      </c>
      <c r="AC95" s="12">
        <v>1</v>
      </c>
      <c r="AD95" s="15">
        <f t="shared" si="2"/>
        <v>4</v>
      </c>
      <c r="AE95" s="15">
        <f t="shared" si="3"/>
        <v>50</v>
      </c>
      <c r="AF95" s="14">
        <v>4</v>
      </c>
      <c r="AG95" s="14">
        <v>3</v>
      </c>
      <c r="AH95" s="14">
        <v>1</v>
      </c>
      <c r="AI95" s="14">
        <v>4</v>
      </c>
      <c r="AJ95" s="14">
        <v>3</v>
      </c>
      <c r="AK95" s="14">
        <v>3</v>
      </c>
      <c r="AL95" s="14">
        <v>2</v>
      </c>
      <c r="AM95" s="14">
        <v>3</v>
      </c>
      <c r="AN95" s="14">
        <v>4</v>
      </c>
      <c r="AO95" s="17">
        <f t="shared" si="4"/>
        <v>27</v>
      </c>
      <c r="AP95" s="17">
        <f t="shared" si="5"/>
        <v>60</v>
      </c>
      <c r="AQ95" s="16">
        <v>4</v>
      </c>
      <c r="AR95" s="16">
        <v>3</v>
      </c>
      <c r="AS95" s="16">
        <v>3</v>
      </c>
      <c r="AT95" s="16">
        <v>3</v>
      </c>
      <c r="AU95" s="16">
        <v>5</v>
      </c>
      <c r="AV95" s="16">
        <v>3</v>
      </c>
      <c r="AW95" s="16">
        <v>3</v>
      </c>
      <c r="AX95" s="16">
        <v>3</v>
      </c>
      <c r="AY95" s="16">
        <v>1</v>
      </c>
      <c r="AZ95" s="16">
        <v>2</v>
      </c>
      <c r="BA95" s="18">
        <f t="shared" si="6"/>
        <v>30</v>
      </c>
      <c r="BB95" s="18">
        <f t="shared" si="7"/>
        <v>60</v>
      </c>
    </row>
    <row r="96" spans="1:54" ht="22.5" customHeight="1" x14ac:dyDescent="0.2">
      <c r="A96" s="9" t="s">
        <v>74</v>
      </c>
      <c r="B96" s="9" t="s">
        <v>68</v>
      </c>
      <c r="C96" s="9" t="s">
        <v>55</v>
      </c>
      <c r="D96" s="1" t="s">
        <v>70</v>
      </c>
      <c r="E96" s="9" t="s">
        <v>60</v>
      </c>
      <c r="F96" s="9" t="s">
        <v>71</v>
      </c>
      <c r="G96" s="9" t="s">
        <v>61</v>
      </c>
      <c r="H96" s="9" t="s">
        <v>57</v>
      </c>
      <c r="I96" s="9" t="s">
        <v>72</v>
      </c>
      <c r="J96" s="11">
        <v>1</v>
      </c>
      <c r="K96" s="11">
        <v>1</v>
      </c>
      <c r="L96" s="11">
        <v>1</v>
      </c>
      <c r="M96" s="11">
        <v>0.5</v>
      </c>
      <c r="N96" s="11">
        <v>1</v>
      </c>
      <c r="O96" s="11">
        <v>1</v>
      </c>
      <c r="P96" s="11">
        <v>0.5</v>
      </c>
      <c r="Q96" s="11">
        <v>1</v>
      </c>
      <c r="R96" s="11">
        <v>1.5</v>
      </c>
      <c r="S96" s="11">
        <v>1.5</v>
      </c>
      <c r="T96" s="13">
        <f t="shared" si="0"/>
        <v>10</v>
      </c>
      <c r="U96" s="13">
        <f t="shared" si="1"/>
        <v>55.555555555555557</v>
      </c>
      <c r="V96" s="12">
        <v>1</v>
      </c>
      <c r="W96" s="12">
        <v>0</v>
      </c>
      <c r="X96" s="12">
        <v>1</v>
      </c>
      <c r="Y96" s="12">
        <v>0</v>
      </c>
      <c r="Z96" s="12">
        <v>1</v>
      </c>
      <c r="AA96" s="12">
        <v>1</v>
      </c>
      <c r="AB96" s="12">
        <v>1</v>
      </c>
      <c r="AC96" s="12">
        <v>1</v>
      </c>
      <c r="AD96" s="15">
        <f t="shared" si="2"/>
        <v>6</v>
      </c>
      <c r="AE96" s="15">
        <f t="shared" si="3"/>
        <v>75</v>
      </c>
      <c r="AF96" s="14">
        <v>4</v>
      </c>
      <c r="AG96" s="14">
        <v>5</v>
      </c>
      <c r="AH96" s="14">
        <v>3</v>
      </c>
      <c r="AI96" s="14">
        <v>5</v>
      </c>
      <c r="AJ96" s="14">
        <v>5</v>
      </c>
      <c r="AK96" s="14">
        <v>4</v>
      </c>
      <c r="AL96" s="14">
        <v>4</v>
      </c>
      <c r="AM96" s="14">
        <v>5</v>
      </c>
      <c r="AN96" s="14">
        <v>4</v>
      </c>
      <c r="AO96" s="17">
        <f t="shared" si="4"/>
        <v>39</v>
      </c>
      <c r="AP96" s="17">
        <f t="shared" si="5"/>
        <v>86.666666666666671</v>
      </c>
      <c r="AQ96" s="16">
        <v>5</v>
      </c>
      <c r="AR96" s="16">
        <v>4</v>
      </c>
      <c r="AS96" s="16">
        <v>3</v>
      </c>
      <c r="AT96" s="16">
        <v>2</v>
      </c>
      <c r="AU96" s="16">
        <v>5</v>
      </c>
      <c r="AV96" s="16">
        <v>4</v>
      </c>
      <c r="AW96" s="16">
        <v>3</v>
      </c>
      <c r="AX96" s="16">
        <v>5</v>
      </c>
      <c r="AY96" s="16">
        <v>5</v>
      </c>
      <c r="AZ96" s="16">
        <v>2</v>
      </c>
      <c r="BA96" s="18">
        <f t="shared" si="6"/>
        <v>38</v>
      </c>
      <c r="BB96" s="18">
        <f t="shared" si="7"/>
        <v>76</v>
      </c>
    </row>
    <row r="97" spans="1:54" ht="22.5" customHeight="1" x14ac:dyDescent="0.2">
      <c r="A97" s="9" t="s">
        <v>93</v>
      </c>
      <c r="B97" s="9" t="s">
        <v>54</v>
      </c>
      <c r="C97" s="9" t="s">
        <v>69</v>
      </c>
      <c r="D97" s="1" t="s">
        <v>75</v>
      </c>
      <c r="E97" s="9" t="s">
        <v>59</v>
      </c>
      <c r="F97" s="9" t="s">
        <v>71</v>
      </c>
      <c r="G97" s="9" t="s">
        <v>76</v>
      </c>
      <c r="H97" s="9" t="s">
        <v>97</v>
      </c>
      <c r="I97" s="9" t="s">
        <v>72</v>
      </c>
      <c r="J97" s="11">
        <v>1</v>
      </c>
      <c r="K97" s="11">
        <v>1</v>
      </c>
      <c r="L97" s="11">
        <v>2</v>
      </c>
      <c r="M97" s="11">
        <v>2</v>
      </c>
      <c r="N97" s="11">
        <v>1</v>
      </c>
      <c r="O97" s="11">
        <v>1</v>
      </c>
      <c r="P97" s="11">
        <v>1.5</v>
      </c>
      <c r="Q97" s="11">
        <v>1</v>
      </c>
      <c r="R97" s="11">
        <v>1.5</v>
      </c>
      <c r="S97" s="11">
        <v>2</v>
      </c>
      <c r="T97" s="13">
        <f t="shared" si="0"/>
        <v>14</v>
      </c>
      <c r="U97" s="13">
        <f t="shared" si="1"/>
        <v>77.777777777777786</v>
      </c>
      <c r="V97" s="12">
        <v>1</v>
      </c>
      <c r="W97" s="12">
        <v>1</v>
      </c>
      <c r="X97" s="12">
        <v>1</v>
      </c>
      <c r="Y97" s="12">
        <v>1</v>
      </c>
      <c r="Z97" s="12">
        <v>1</v>
      </c>
      <c r="AA97" s="12">
        <v>1</v>
      </c>
      <c r="AB97" s="12">
        <v>1</v>
      </c>
      <c r="AC97" s="12">
        <v>1</v>
      </c>
      <c r="AD97" s="15">
        <f t="shared" si="2"/>
        <v>8</v>
      </c>
      <c r="AE97" s="15">
        <f t="shared" si="3"/>
        <v>100</v>
      </c>
      <c r="AF97" s="14">
        <v>5</v>
      </c>
      <c r="AG97" s="14">
        <v>5</v>
      </c>
      <c r="AH97" s="14">
        <v>5</v>
      </c>
      <c r="AI97" s="14">
        <v>4</v>
      </c>
      <c r="AJ97" s="14">
        <v>5</v>
      </c>
      <c r="AK97" s="14">
        <v>4</v>
      </c>
      <c r="AL97" s="14">
        <v>5</v>
      </c>
      <c r="AM97" s="14">
        <v>5</v>
      </c>
      <c r="AN97" s="14">
        <v>4</v>
      </c>
      <c r="AO97" s="17">
        <f t="shared" si="4"/>
        <v>42</v>
      </c>
      <c r="AP97" s="17">
        <f t="shared" si="5"/>
        <v>93.333333333333329</v>
      </c>
      <c r="AQ97" s="16">
        <v>2</v>
      </c>
      <c r="AR97" s="16">
        <v>3</v>
      </c>
      <c r="AS97" s="16">
        <v>3</v>
      </c>
      <c r="AT97" s="16">
        <v>3</v>
      </c>
      <c r="AU97" s="16">
        <v>5</v>
      </c>
      <c r="AV97" s="16">
        <v>4</v>
      </c>
      <c r="AW97" s="16">
        <v>5</v>
      </c>
      <c r="AX97" s="16">
        <v>5</v>
      </c>
      <c r="AY97" s="16">
        <v>5</v>
      </c>
      <c r="AZ97" s="16">
        <v>5</v>
      </c>
      <c r="BA97" s="18">
        <f t="shared" si="6"/>
        <v>40</v>
      </c>
      <c r="BB97" s="18">
        <f t="shared" si="7"/>
        <v>80</v>
      </c>
    </row>
    <row r="98" spans="1:54" ht="22.5" customHeight="1" x14ac:dyDescent="0.2">
      <c r="A98" s="9" t="s">
        <v>74</v>
      </c>
      <c r="B98" s="9" t="s">
        <v>68</v>
      </c>
      <c r="C98" s="9" t="s">
        <v>69</v>
      </c>
      <c r="D98" s="1" t="s">
        <v>102</v>
      </c>
      <c r="E98" s="9" t="s">
        <v>60</v>
      </c>
      <c r="F98" s="9" t="s">
        <v>59</v>
      </c>
      <c r="G98" s="9" t="s">
        <v>76</v>
      </c>
      <c r="H98" s="9" t="s">
        <v>57</v>
      </c>
      <c r="I98" s="9" t="s">
        <v>72</v>
      </c>
      <c r="J98" s="11">
        <v>1</v>
      </c>
      <c r="K98" s="11">
        <v>1</v>
      </c>
      <c r="L98" s="11">
        <v>1</v>
      </c>
      <c r="M98" s="11">
        <v>1</v>
      </c>
      <c r="N98" s="11">
        <v>1.5</v>
      </c>
      <c r="O98" s="11">
        <v>1</v>
      </c>
      <c r="P98" s="11">
        <v>1.5</v>
      </c>
      <c r="Q98" s="11">
        <v>1</v>
      </c>
      <c r="R98" s="11">
        <v>1.5</v>
      </c>
      <c r="S98" s="11">
        <v>0</v>
      </c>
      <c r="T98" s="13">
        <f t="shared" si="0"/>
        <v>10.5</v>
      </c>
      <c r="U98" s="13">
        <f t="shared" si="1"/>
        <v>58.333333333333336</v>
      </c>
      <c r="V98" s="12">
        <v>1</v>
      </c>
      <c r="W98" s="12">
        <v>1</v>
      </c>
      <c r="X98" s="12">
        <v>1</v>
      </c>
      <c r="Y98" s="12">
        <v>1</v>
      </c>
      <c r="Z98" s="12">
        <v>0</v>
      </c>
      <c r="AA98" s="12">
        <v>1</v>
      </c>
      <c r="AB98" s="12">
        <v>1</v>
      </c>
      <c r="AC98" s="12">
        <v>1</v>
      </c>
      <c r="AD98" s="15">
        <f t="shared" si="2"/>
        <v>7</v>
      </c>
      <c r="AE98" s="15">
        <f t="shared" si="3"/>
        <v>87.5</v>
      </c>
      <c r="AF98" s="14">
        <v>4</v>
      </c>
      <c r="AG98" s="14">
        <v>5</v>
      </c>
      <c r="AH98" s="14">
        <v>4</v>
      </c>
      <c r="AI98" s="14">
        <v>4</v>
      </c>
      <c r="AJ98" s="14">
        <v>4</v>
      </c>
      <c r="AK98" s="14">
        <v>5</v>
      </c>
      <c r="AL98" s="14">
        <v>3</v>
      </c>
      <c r="AM98" s="14">
        <v>4</v>
      </c>
      <c r="AN98" s="14">
        <v>4</v>
      </c>
      <c r="AO98" s="17">
        <f t="shared" si="4"/>
        <v>37</v>
      </c>
      <c r="AP98" s="17">
        <f t="shared" si="5"/>
        <v>82.222222222222214</v>
      </c>
      <c r="AQ98" s="16">
        <v>5</v>
      </c>
      <c r="AR98" s="16">
        <v>4</v>
      </c>
      <c r="AS98" s="16">
        <v>4</v>
      </c>
      <c r="AT98" s="16">
        <v>4</v>
      </c>
      <c r="AU98" s="16">
        <v>5</v>
      </c>
      <c r="AV98" s="16">
        <v>4</v>
      </c>
      <c r="AW98" s="16">
        <v>4</v>
      </c>
      <c r="AX98" s="16">
        <v>5</v>
      </c>
      <c r="AY98" s="16">
        <v>5</v>
      </c>
      <c r="AZ98" s="16">
        <v>2</v>
      </c>
      <c r="BA98" s="18">
        <f t="shared" si="6"/>
        <v>42</v>
      </c>
      <c r="BB98" s="18">
        <f t="shared" si="7"/>
        <v>84</v>
      </c>
    </row>
    <row r="99" spans="1:54" ht="22.5" customHeight="1" x14ac:dyDescent="0.2">
      <c r="A99" s="9" t="s">
        <v>52</v>
      </c>
      <c r="B99" s="9" t="s">
        <v>68</v>
      </c>
      <c r="C99" s="9" t="s">
        <v>69</v>
      </c>
      <c r="D99" s="1" t="s">
        <v>70</v>
      </c>
      <c r="E99" s="9" t="s">
        <v>59</v>
      </c>
      <c r="F99" s="9" t="s">
        <v>60</v>
      </c>
      <c r="G99" s="9" t="s">
        <v>61</v>
      </c>
      <c r="H99" s="9" t="s">
        <v>101</v>
      </c>
      <c r="I99" s="9" t="s">
        <v>62</v>
      </c>
      <c r="J99" s="11">
        <v>1</v>
      </c>
      <c r="K99" s="11">
        <v>1</v>
      </c>
      <c r="L99" s="11">
        <v>1</v>
      </c>
      <c r="M99" s="11">
        <v>1</v>
      </c>
      <c r="N99" s="11">
        <v>1</v>
      </c>
      <c r="O99" s="11">
        <v>1</v>
      </c>
      <c r="P99" s="11">
        <v>2</v>
      </c>
      <c r="Q99" s="11">
        <v>1</v>
      </c>
      <c r="R99" s="11">
        <v>1</v>
      </c>
      <c r="S99" s="11">
        <v>1.5</v>
      </c>
      <c r="T99" s="13">
        <f t="shared" si="0"/>
        <v>11.5</v>
      </c>
      <c r="U99" s="13">
        <f t="shared" si="1"/>
        <v>63.888888888888886</v>
      </c>
      <c r="V99" s="12">
        <v>1</v>
      </c>
      <c r="W99" s="12">
        <v>0</v>
      </c>
      <c r="X99" s="12">
        <v>1</v>
      </c>
      <c r="Y99" s="12">
        <v>1</v>
      </c>
      <c r="Z99" s="12">
        <v>1</v>
      </c>
      <c r="AA99" s="12">
        <v>1</v>
      </c>
      <c r="AB99" s="12">
        <v>1</v>
      </c>
      <c r="AC99" s="12">
        <v>1</v>
      </c>
      <c r="AD99" s="15">
        <f t="shared" si="2"/>
        <v>7</v>
      </c>
      <c r="AE99" s="15">
        <f t="shared" si="3"/>
        <v>87.5</v>
      </c>
      <c r="AF99" s="14">
        <v>4</v>
      </c>
      <c r="AG99" s="14">
        <v>4</v>
      </c>
      <c r="AH99" s="14">
        <v>5</v>
      </c>
      <c r="AI99" s="14">
        <v>4</v>
      </c>
      <c r="AJ99" s="14">
        <v>4</v>
      </c>
      <c r="AK99" s="14">
        <v>4</v>
      </c>
      <c r="AL99" s="14">
        <v>4</v>
      </c>
      <c r="AM99" s="14">
        <v>5</v>
      </c>
      <c r="AN99" s="14">
        <v>5</v>
      </c>
      <c r="AO99" s="17">
        <f t="shared" si="4"/>
        <v>39</v>
      </c>
      <c r="AP99" s="17">
        <f t="shared" si="5"/>
        <v>86.666666666666671</v>
      </c>
      <c r="AQ99" s="16">
        <v>4</v>
      </c>
      <c r="AR99" s="16">
        <v>5</v>
      </c>
      <c r="AS99" s="16">
        <v>5</v>
      </c>
      <c r="AT99" s="16">
        <v>4</v>
      </c>
      <c r="AU99" s="16">
        <v>1</v>
      </c>
      <c r="AV99" s="16">
        <v>2</v>
      </c>
      <c r="AW99" s="16">
        <v>3</v>
      </c>
      <c r="AX99" s="16">
        <v>4</v>
      </c>
      <c r="AY99" s="16">
        <v>5</v>
      </c>
      <c r="AZ99" s="16">
        <v>3</v>
      </c>
      <c r="BA99" s="18">
        <f t="shared" si="6"/>
        <v>36</v>
      </c>
      <c r="BB99" s="18">
        <f t="shared" si="7"/>
        <v>72</v>
      </c>
    </row>
    <row r="100" spans="1:54" ht="22.5" customHeight="1" x14ac:dyDescent="0.2">
      <c r="A100" s="9" t="s">
        <v>67</v>
      </c>
      <c r="B100" s="9" t="s">
        <v>68</v>
      </c>
      <c r="C100" s="9" t="s">
        <v>55</v>
      </c>
      <c r="D100" s="1" t="s">
        <v>57</v>
      </c>
      <c r="E100" s="9" t="s">
        <v>71</v>
      </c>
      <c r="F100" s="9" t="s">
        <v>59</v>
      </c>
      <c r="G100" s="9" t="s">
        <v>61</v>
      </c>
      <c r="H100" s="9" t="s">
        <v>57</v>
      </c>
      <c r="I100" s="9" t="s">
        <v>96</v>
      </c>
      <c r="J100" s="11">
        <v>1</v>
      </c>
      <c r="K100" s="11">
        <v>1</v>
      </c>
      <c r="L100" s="11">
        <v>1</v>
      </c>
      <c r="M100" s="11">
        <v>1</v>
      </c>
      <c r="N100" s="11">
        <v>1.5</v>
      </c>
      <c r="O100" s="11">
        <v>1</v>
      </c>
      <c r="P100" s="11">
        <v>1.5</v>
      </c>
      <c r="Q100" s="11">
        <v>1</v>
      </c>
      <c r="R100" s="11">
        <v>2</v>
      </c>
      <c r="S100" s="11">
        <v>2</v>
      </c>
      <c r="T100" s="13">
        <f t="shared" si="0"/>
        <v>13</v>
      </c>
      <c r="U100" s="13">
        <f t="shared" si="1"/>
        <v>72.222222222222214</v>
      </c>
      <c r="V100" s="12">
        <v>1</v>
      </c>
      <c r="W100" s="12">
        <v>1</v>
      </c>
      <c r="X100" s="12">
        <v>0</v>
      </c>
      <c r="Y100" s="12">
        <v>1</v>
      </c>
      <c r="Z100" s="12">
        <v>1</v>
      </c>
      <c r="AA100" s="12">
        <v>1</v>
      </c>
      <c r="AB100" s="12">
        <v>1</v>
      </c>
      <c r="AC100" s="12">
        <v>1</v>
      </c>
      <c r="AD100" s="15">
        <f t="shared" si="2"/>
        <v>7</v>
      </c>
      <c r="AE100" s="15">
        <f t="shared" si="3"/>
        <v>87.5</v>
      </c>
      <c r="AF100" s="14">
        <v>4</v>
      </c>
      <c r="AG100" s="14">
        <v>4</v>
      </c>
      <c r="AH100" s="14">
        <v>5</v>
      </c>
      <c r="AI100" s="14">
        <v>3</v>
      </c>
      <c r="AJ100" s="14">
        <v>5</v>
      </c>
      <c r="AK100" s="14">
        <v>4</v>
      </c>
      <c r="AL100" s="14">
        <v>5</v>
      </c>
      <c r="AM100" s="14">
        <v>4</v>
      </c>
      <c r="AN100" s="14">
        <v>5</v>
      </c>
      <c r="AO100" s="17">
        <f t="shared" si="4"/>
        <v>39</v>
      </c>
      <c r="AP100" s="17">
        <f t="shared" si="5"/>
        <v>86.666666666666671</v>
      </c>
      <c r="AQ100" s="16">
        <v>4</v>
      </c>
      <c r="AR100" s="16">
        <v>5</v>
      </c>
      <c r="AS100" s="16">
        <v>4</v>
      </c>
      <c r="AT100" s="16">
        <v>4</v>
      </c>
      <c r="AU100" s="16">
        <v>5</v>
      </c>
      <c r="AV100" s="16">
        <v>3</v>
      </c>
      <c r="AW100" s="16">
        <v>5</v>
      </c>
      <c r="AX100" s="16">
        <v>2</v>
      </c>
      <c r="AY100" s="16">
        <v>5</v>
      </c>
      <c r="AZ100" s="16">
        <v>4</v>
      </c>
      <c r="BA100" s="18">
        <f t="shared" si="6"/>
        <v>41</v>
      </c>
      <c r="BB100" s="18">
        <f t="shared" si="7"/>
        <v>82</v>
      </c>
    </row>
    <row r="101" spans="1:54" ht="22.5" customHeight="1" x14ac:dyDescent="0.2">
      <c r="A101" s="9" t="s">
        <v>52</v>
      </c>
      <c r="B101" s="9" t="s">
        <v>54</v>
      </c>
      <c r="C101" s="9" t="s">
        <v>69</v>
      </c>
      <c r="D101" s="1" t="s">
        <v>75</v>
      </c>
      <c r="E101" s="9" t="s">
        <v>71</v>
      </c>
      <c r="F101" s="9" t="s">
        <v>60</v>
      </c>
      <c r="G101" s="9" t="s">
        <v>76</v>
      </c>
      <c r="H101" s="9" t="s">
        <v>99</v>
      </c>
      <c r="I101" s="9" t="s">
        <v>62</v>
      </c>
      <c r="J101" s="11">
        <v>1</v>
      </c>
      <c r="K101" s="11">
        <v>1</v>
      </c>
      <c r="L101" s="11">
        <v>2</v>
      </c>
      <c r="M101" s="11">
        <v>2</v>
      </c>
      <c r="N101" s="11">
        <v>1</v>
      </c>
      <c r="O101" s="11">
        <v>1</v>
      </c>
      <c r="P101" s="11">
        <v>1.5</v>
      </c>
      <c r="Q101" s="11">
        <v>1</v>
      </c>
      <c r="R101" s="11">
        <v>1</v>
      </c>
      <c r="S101" s="11">
        <v>1</v>
      </c>
      <c r="T101" s="13">
        <f t="shared" si="0"/>
        <v>12.5</v>
      </c>
      <c r="U101" s="13">
        <f t="shared" si="1"/>
        <v>69.444444444444443</v>
      </c>
      <c r="V101" s="12">
        <v>1</v>
      </c>
      <c r="W101" s="12">
        <v>1</v>
      </c>
      <c r="X101" s="12">
        <v>1</v>
      </c>
      <c r="Y101" s="12">
        <v>1</v>
      </c>
      <c r="Z101" s="12">
        <v>1</v>
      </c>
      <c r="AA101" s="12">
        <v>1</v>
      </c>
      <c r="AB101" s="12">
        <v>1</v>
      </c>
      <c r="AC101" s="12">
        <v>1</v>
      </c>
      <c r="AD101" s="15">
        <f t="shared" si="2"/>
        <v>8</v>
      </c>
      <c r="AE101" s="15">
        <f t="shared" si="3"/>
        <v>100</v>
      </c>
      <c r="AF101" s="14">
        <v>4</v>
      </c>
      <c r="AG101" s="14">
        <v>3</v>
      </c>
      <c r="AH101" s="14">
        <v>3</v>
      </c>
      <c r="AI101" s="14">
        <v>3</v>
      </c>
      <c r="AJ101" s="14">
        <v>4</v>
      </c>
      <c r="AK101" s="14">
        <v>4</v>
      </c>
      <c r="AL101" s="14">
        <v>4</v>
      </c>
      <c r="AM101" s="14">
        <v>3</v>
      </c>
      <c r="AN101" s="14">
        <v>4</v>
      </c>
      <c r="AO101" s="17">
        <f t="shared" si="4"/>
        <v>32</v>
      </c>
      <c r="AP101" s="17">
        <f t="shared" si="5"/>
        <v>71.111111111111114</v>
      </c>
      <c r="AQ101" s="16">
        <v>5</v>
      </c>
      <c r="AR101" s="16">
        <v>5</v>
      </c>
      <c r="AS101" s="16">
        <v>5</v>
      </c>
      <c r="AT101" s="16">
        <v>4</v>
      </c>
      <c r="AU101" s="16">
        <v>5</v>
      </c>
      <c r="AV101" s="16">
        <v>4</v>
      </c>
      <c r="AW101" s="16">
        <v>5</v>
      </c>
      <c r="AX101" s="16">
        <v>5</v>
      </c>
      <c r="AY101" s="16">
        <v>5</v>
      </c>
      <c r="AZ101" s="16">
        <v>4</v>
      </c>
      <c r="BA101" s="18">
        <f t="shared" si="6"/>
        <v>47</v>
      </c>
      <c r="BB101" s="18">
        <f t="shared" si="7"/>
        <v>94</v>
      </c>
    </row>
    <row r="102" spans="1:54" ht="22.5" customHeight="1" x14ac:dyDescent="0.2">
      <c r="A102" s="9" t="s">
        <v>74</v>
      </c>
      <c r="B102" s="9" t="s">
        <v>54</v>
      </c>
      <c r="C102" s="9" t="s">
        <v>69</v>
      </c>
      <c r="D102" s="1" t="s">
        <v>100</v>
      </c>
      <c r="E102" s="9" t="s">
        <v>85</v>
      </c>
      <c r="F102" s="9" t="s">
        <v>85</v>
      </c>
      <c r="G102" s="9" t="s">
        <v>86</v>
      </c>
      <c r="H102" s="9" t="s">
        <v>97</v>
      </c>
      <c r="I102" s="9" t="s">
        <v>81</v>
      </c>
      <c r="J102" s="11">
        <v>1</v>
      </c>
      <c r="K102" s="11">
        <v>0</v>
      </c>
      <c r="L102" s="11">
        <v>1</v>
      </c>
      <c r="M102" s="11">
        <v>1</v>
      </c>
      <c r="N102" s="11">
        <v>0.5</v>
      </c>
      <c r="O102" s="11">
        <v>1</v>
      </c>
      <c r="P102" s="11">
        <v>1.5</v>
      </c>
      <c r="Q102" s="11">
        <v>1</v>
      </c>
      <c r="R102" s="11">
        <v>1.5</v>
      </c>
      <c r="S102" s="11">
        <v>0.5</v>
      </c>
      <c r="T102" s="13">
        <f t="shared" si="0"/>
        <v>9</v>
      </c>
      <c r="U102" s="13">
        <f t="shared" si="1"/>
        <v>50</v>
      </c>
      <c r="V102" s="12">
        <v>1</v>
      </c>
      <c r="W102" s="12">
        <v>1</v>
      </c>
      <c r="X102" s="12">
        <v>1</v>
      </c>
      <c r="Y102" s="12">
        <v>1</v>
      </c>
      <c r="Z102" s="12">
        <v>1</v>
      </c>
      <c r="AA102" s="12">
        <v>1</v>
      </c>
      <c r="AB102" s="12">
        <v>1</v>
      </c>
      <c r="AC102" s="12">
        <v>1</v>
      </c>
      <c r="AD102" s="15">
        <f t="shared" si="2"/>
        <v>8</v>
      </c>
      <c r="AE102" s="15">
        <f t="shared" si="3"/>
        <v>100</v>
      </c>
      <c r="AF102" s="14">
        <v>4</v>
      </c>
      <c r="AG102" s="14">
        <v>4</v>
      </c>
      <c r="AH102" s="14">
        <v>5</v>
      </c>
      <c r="AI102" s="14">
        <v>4</v>
      </c>
      <c r="AJ102" s="14">
        <v>3</v>
      </c>
      <c r="AK102" s="14">
        <v>5</v>
      </c>
      <c r="AL102" s="14">
        <v>4</v>
      </c>
      <c r="AM102" s="14">
        <v>5</v>
      </c>
      <c r="AN102" s="14">
        <v>4</v>
      </c>
      <c r="AO102" s="17">
        <f t="shared" si="4"/>
        <v>38</v>
      </c>
      <c r="AP102" s="17">
        <f t="shared" si="5"/>
        <v>84.444444444444443</v>
      </c>
      <c r="AQ102" s="16">
        <v>5</v>
      </c>
      <c r="AR102" s="16">
        <v>3</v>
      </c>
      <c r="AS102" s="16">
        <v>4</v>
      </c>
      <c r="AT102" s="16">
        <v>5</v>
      </c>
      <c r="AU102" s="16">
        <v>5</v>
      </c>
      <c r="AV102" s="16">
        <v>2</v>
      </c>
      <c r="AW102" s="16">
        <v>4</v>
      </c>
      <c r="AX102" s="16">
        <v>3</v>
      </c>
      <c r="AY102" s="16">
        <v>5</v>
      </c>
      <c r="AZ102" s="16">
        <v>3</v>
      </c>
      <c r="BA102" s="18">
        <f t="shared" si="6"/>
        <v>39</v>
      </c>
      <c r="BB102" s="18">
        <f t="shared" si="7"/>
        <v>78</v>
      </c>
    </row>
    <row r="103" spans="1:54" ht="22.5" customHeight="1" x14ac:dyDescent="0.2">
      <c r="A103" s="9" t="s">
        <v>67</v>
      </c>
      <c r="B103" s="9" t="s">
        <v>54</v>
      </c>
      <c r="C103" s="9" t="s">
        <v>55</v>
      </c>
      <c r="D103" s="1" t="s">
        <v>57</v>
      </c>
      <c r="E103" s="9" t="s">
        <v>60</v>
      </c>
      <c r="F103" s="9" t="s">
        <v>71</v>
      </c>
      <c r="G103" s="9" t="s">
        <v>95</v>
      </c>
      <c r="H103" s="9" t="s">
        <v>99</v>
      </c>
      <c r="I103" s="9" t="s">
        <v>81</v>
      </c>
      <c r="J103" s="11">
        <v>0</v>
      </c>
      <c r="K103" s="11">
        <v>0</v>
      </c>
      <c r="L103" s="11">
        <v>1</v>
      </c>
      <c r="M103" s="11">
        <v>0</v>
      </c>
      <c r="N103" s="11">
        <v>0.5</v>
      </c>
      <c r="O103" s="11">
        <v>0</v>
      </c>
      <c r="P103" s="11">
        <v>0</v>
      </c>
      <c r="Q103" s="11">
        <v>0</v>
      </c>
      <c r="R103" s="11">
        <v>1</v>
      </c>
      <c r="S103" s="11">
        <v>2</v>
      </c>
      <c r="T103" s="13">
        <f t="shared" si="0"/>
        <v>4.5</v>
      </c>
      <c r="U103" s="13">
        <f t="shared" si="1"/>
        <v>25</v>
      </c>
      <c r="V103" s="12">
        <v>1</v>
      </c>
      <c r="W103" s="12">
        <v>1</v>
      </c>
      <c r="X103" s="12">
        <v>0</v>
      </c>
      <c r="Y103" s="12">
        <v>1</v>
      </c>
      <c r="Z103" s="12">
        <v>1</v>
      </c>
      <c r="AA103" s="12">
        <v>1</v>
      </c>
      <c r="AB103" s="12">
        <v>1</v>
      </c>
      <c r="AC103" s="12">
        <v>1</v>
      </c>
      <c r="AD103" s="15">
        <f t="shared" si="2"/>
        <v>7</v>
      </c>
      <c r="AE103" s="15">
        <f t="shared" si="3"/>
        <v>87.5</v>
      </c>
      <c r="AF103" s="14">
        <v>3</v>
      </c>
      <c r="AG103" s="14">
        <v>3</v>
      </c>
      <c r="AH103" s="14">
        <v>3</v>
      </c>
      <c r="AI103" s="14">
        <v>4</v>
      </c>
      <c r="AJ103" s="14">
        <v>4</v>
      </c>
      <c r="AK103" s="14">
        <v>3</v>
      </c>
      <c r="AL103" s="14">
        <v>4</v>
      </c>
      <c r="AM103" s="14">
        <v>4</v>
      </c>
      <c r="AN103" s="14">
        <v>4</v>
      </c>
      <c r="AO103" s="17">
        <f t="shared" si="4"/>
        <v>32</v>
      </c>
      <c r="AP103" s="17">
        <f t="shared" si="5"/>
        <v>71.111111111111114</v>
      </c>
      <c r="AQ103" s="16">
        <v>4</v>
      </c>
      <c r="AR103" s="16">
        <v>4</v>
      </c>
      <c r="AS103" s="16">
        <v>4</v>
      </c>
      <c r="AT103" s="16">
        <v>4</v>
      </c>
      <c r="AU103" s="16">
        <v>5</v>
      </c>
      <c r="AV103" s="16">
        <v>4</v>
      </c>
      <c r="AW103" s="16">
        <v>3</v>
      </c>
      <c r="AX103" s="16">
        <v>4</v>
      </c>
      <c r="AY103" s="16">
        <v>5</v>
      </c>
      <c r="AZ103" s="16">
        <v>2</v>
      </c>
      <c r="BA103" s="18">
        <f t="shared" si="6"/>
        <v>39</v>
      </c>
      <c r="BB103" s="18">
        <f t="shared" si="7"/>
        <v>78</v>
      </c>
    </row>
    <row r="104" spans="1:54" ht="22.5" customHeight="1" x14ac:dyDescent="0.2">
      <c r="A104" s="9" t="s">
        <v>74</v>
      </c>
      <c r="B104" s="9" t="s">
        <v>54</v>
      </c>
      <c r="C104" s="9" t="s">
        <v>69</v>
      </c>
      <c r="D104" s="1" t="s">
        <v>70</v>
      </c>
      <c r="E104" s="9" t="s">
        <v>60</v>
      </c>
      <c r="F104" s="9" t="s">
        <v>60</v>
      </c>
      <c r="G104" s="9" t="s">
        <v>95</v>
      </c>
      <c r="H104" s="9" t="s">
        <v>86</v>
      </c>
      <c r="I104" s="9" t="s">
        <v>62</v>
      </c>
      <c r="J104" s="11">
        <v>1</v>
      </c>
      <c r="K104" s="11">
        <v>1</v>
      </c>
      <c r="L104" s="11">
        <v>1</v>
      </c>
      <c r="M104" s="11">
        <v>2</v>
      </c>
      <c r="N104" s="11">
        <v>0.5</v>
      </c>
      <c r="O104" s="11">
        <v>1</v>
      </c>
      <c r="P104" s="11">
        <v>1.5</v>
      </c>
      <c r="Q104" s="11">
        <v>1</v>
      </c>
      <c r="R104" s="11">
        <v>1.5</v>
      </c>
      <c r="S104" s="11">
        <v>1</v>
      </c>
      <c r="T104" s="13">
        <f t="shared" si="0"/>
        <v>11.5</v>
      </c>
      <c r="U104" s="13">
        <f t="shared" si="1"/>
        <v>63.888888888888886</v>
      </c>
      <c r="V104" s="12">
        <v>1</v>
      </c>
      <c r="W104" s="12">
        <v>1</v>
      </c>
      <c r="X104" s="12">
        <v>1</v>
      </c>
      <c r="Y104" s="12">
        <v>1</v>
      </c>
      <c r="Z104" s="12">
        <v>1</v>
      </c>
      <c r="AA104" s="12">
        <v>1</v>
      </c>
      <c r="AB104" s="12">
        <v>1</v>
      </c>
      <c r="AC104" s="12">
        <v>1</v>
      </c>
      <c r="AD104" s="15">
        <f t="shared" si="2"/>
        <v>8</v>
      </c>
      <c r="AE104" s="15">
        <f t="shared" si="3"/>
        <v>100</v>
      </c>
      <c r="AF104" s="14">
        <v>4</v>
      </c>
      <c r="AG104" s="14">
        <v>4</v>
      </c>
      <c r="AH104" s="14">
        <v>5</v>
      </c>
      <c r="AI104" s="14">
        <v>5</v>
      </c>
      <c r="AJ104" s="14">
        <v>4</v>
      </c>
      <c r="AK104" s="14">
        <v>4</v>
      </c>
      <c r="AL104" s="14">
        <v>3</v>
      </c>
      <c r="AM104" s="14">
        <v>5</v>
      </c>
      <c r="AN104" s="14">
        <v>4</v>
      </c>
      <c r="AO104" s="17">
        <f t="shared" si="4"/>
        <v>38</v>
      </c>
      <c r="AP104" s="17">
        <f t="shared" si="5"/>
        <v>84.444444444444443</v>
      </c>
      <c r="AQ104" s="16">
        <v>4</v>
      </c>
      <c r="AR104" s="16">
        <v>3</v>
      </c>
      <c r="AS104" s="16">
        <v>2</v>
      </c>
      <c r="AT104" s="16">
        <v>5</v>
      </c>
      <c r="AU104" s="16">
        <v>5</v>
      </c>
      <c r="AV104" s="16">
        <v>3</v>
      </c>
      <c r="AW104" s="16">
        <v>4</v>
      </c>
      <c r="AX104" s="16">
        <v>4</v>
      </c>
      <c r="AY104" s="16">
        <v>5</v>
      </c>
      <c r="AZ104" s="16">
        <v>4</v>
      </c>
      <c r="BA104" s="18">
        <f t="shared" si="6"/>
        <v>39</v>
      </c>
      <c r="BB104" s="18">
        <f t="shared" si="7"/>
        <v>78</v>
      </c>
    </row>
    <row r="105" spans="1:54" ht="22.5" customHeight="1" x14ac:dyDescent="0.2">
      <c r="A105" s="9" t="s">
        <v>52</v>
      </c>
      <c r="B105" s="9" t="s">
        <v>68</v>
      </c>
      <c r="C105" s="9" t="s">
        <v>55</v>
      </c>
      <c r="D105" s="1" t="s">
        <v>75</v>
      </c>
      <c r="E105" s="9" t="s">
        <v>71</v>
      </c>
      <c r="F105" s="9" t="s">
        <v>85</v>
      </c>
      <c r="G105" s="9" t="s">
        <v>76</v>
      </c>
      <c r="H105" s="9" t="s">
        <v>99</v>
      </c>
      <c r="I105" s="9" t="s">
        <v>81</v>
      </c>
      <c r="J105" s="11">
        <v>0</v>
      </c>
      <c r="K105" s="11">
        <v>0</v>
      </c>
      <c r="L105" s="11">
        <v>1</v>
      </c>
      <c r="M105" s="11">
        <v>0</v>
      </c>
      <c r="N105" s="11">
        <v>0.5</v>
      </c>
      <c r="O105" s="11">
        <v>0</v>
      </c>
      <c r="P105" s="11">
        <v>0.5</v>
      </c>
      <c r="Q105" s="11">
        <v>0</v>
      </c>
      <c r="R105" s="11">
        <v>1</v>
      </c>
      <c r="S105" s="11">
        <v>1.5</v>
      </c>
      <c r="T105" s="13">
        <f t="shared" si="0"/>
        <v>4.5</v>
      </c>
      <c r="U105" s="13">
        <f t="shared" si="1"/>
        <v>25</v>
      </c>
      <c r="V105" s="12">
        <v>1</v>
      </c>
      <c r="W105" s="12">
        <v>1</v>
      </c>
      <c r="X105" s="12">
        <v>1</v>
      </c>
      <c r="Y105" s="12">
        <v>1</v>
      </c>
      <c r="Z105" s="12">
        <v>1</v>
      </c>
      <c r="AA105" s="12">
        <v>1</v>
      </c>
      <c r="AB105" s="12">
        <v>1</v>
      </c>
      <c r="AC105" s="12">
        <v>1</v>
      </c>
      <c r="AD105" s="15">
        <f t="shared" si="2"/>
        <v>8</v>
      </c>
      <c r="AE105" s="15">
        <f t="shared" si="3"/>
        <v>100</v>
      </c>
      <c r="AF105" s="14">
        <v>4</v>
      </c>
      <c r="AG105" s="14">
        <v>4</v>
      </c>
      <c r="AH105" s="14">
        <v>3</v>
      </c>
      <c r="AI105" s="14">
        <v>3</v>
      </c>
      <c r="AJ105" s="14">
        <v>4</v>
      </c>
      <c r="AK105" s="14">
        <v>4</v>
      </c>
      <c r="AL105" s="14">
        <v>4</v>
      </c>
      <c r="AM105" s="14">
        <v>3</v>
      </c>
      <c r="AN105" s="14">
        <v>4</v>
      </c>
      <c r="AO105" s="17">
        <f t="shared" si="4"/>
        <v>33</v>
      </c>
      <c r="AP105" s="17">
        <f t="shared" si="5"/>
        <v>73.333333333333329</v>
      </c>
      <c r="AQ105" s="16">
        <v>4</v>
      </c>
      <c r="AR105" s="16">
        <v>3</v>
      </c>
      <c r="AS105" s="16">
        <v>3</v>
      </c>
      <c r="AT105" s="16">
        <v>4</v>
      </c>
      <c r="AU105" s="16">
        <v>1</v>
      </c>
      <c r="AV105" s="16">
        <v>3</v>
      </c>
      <c r="AW105" s="16">
        <v>3</v>
      </c>
      <c r="AX105" s="16">
        <v>3</v>
      </c>
      <c r="AY105" s="16">
        <v>5</v>
      </c>
      <c r="AZ105" s="16">
        <v>3</v>
      </c>
      <c r="BA105" s="18">
        <f t="shared" si="6"/>
        <v>32</v>
      </c>
      <c r="BB105" s="18">
        <f t="shared" si="7"/>
        <v>64</v>
      </c>
    </row>
    <row r="106" spans="1:54" ht="22.5" customHeight="1" x14ac:dyDescent="0.2">
      <c r="A106" s="9" t="s">
        <v>67</v>
      </c>
      <c r="B106" s="9" t="s">
        <v>54</v>
      </c>
      <c r="C106" s="9" t="s">
        <v>69</v>
      </c>
      <c r="D106" s="1" t="s">
        <v>57</v>
      </c>
      <c r="E106" s="9" t="s">
        <v>59</v>
      </c>
      <c r="F106" s="9" t="s">
        <v>71</v>
      </c>
      <c r="G106" s="9" t="s">
        <v>61</v>
      </c>
      <c r="H106" s="9" t="s">
        <v>101</v>
      </c>
      <c r="I106" s="9" t="s">
        <v>96</v>
      </c>
      <c r="J106" s="11">
        <v>1</v>
      </c>
      <c r="K106" s="11">
        <v>1</v>
      </c>
      <c r="L106" s="11">
        <v>2</v>
      </c>
      <c r="M106" s="11">
        <v>2</v>
      </c>
      <c r="N106" s="11">
        <v>1</v>
      </c>
      <c r="O106" s="11">
        <v>1</v>
      </c>
      <c r="P106" s="11">
        <v>2</v>
      </c>
      <c r="Q106" s="11">
        <v>1</v>
      </c>
      <c r="R106" s="11">
        <v>1.5</v>
      </c>
      <c r="S106" s="11">
        <v>1.5</v>
      </c>
      <c r="T106" s="13">
        <f t="shared" si="0"/>
        <v>14</v>
      </c>
      <c r="U106" s="13">
        <f t="shared" si="1"/>
        <v>77.777777777777786</v>
      </c>
      <c r="V106" s="12">
        <v>1</v>
      </c>
      <c r="W106" s="12">
        <v>1</v>
      </c>
      <c r="X106" s="12">
        <v>1</v>
      </c>
      <c r="Y106" s="12">
        <v>1</v>
      </c>
      <c r="Z106" s="12">
        <v>1</v>
      </c>
      <c r="AA106" s="12">
        <v>1</v>
      </c>
      <c r="AB106" s="12">
        <v>1</v>
      </c>
      <c r="AC106" s="12">
        <v>1</v>
      </c>
      <c r="AD106" s="15">
        <f t="shared" si="2"/>
        <v>8</v>
      </c>
      <c r="AE106" s="15">
        <f t="shared" si="3"/>
        <v>100</v>
      </c>
      <c r="AF106" s="14">
        <v>3</v>
      </c>
      <c r="AG106" s="14">
        <v>5</v>
      </c>
      <c r="AH106" s="14">
        <v>4</v>
      </c>
      <c r="AI106" s="14">
        <v>4</v>
      </c>
      <c r="AJ106" s="14">
        <v>5</v>
      </c>
      <c r="AK106" s="14">
        <v>5</v>
      </c>
      <c r="AL106" s="14">
        <v>5</v>
      </c>
      <c r="AM106" s="14">
        <v>5</v>
      </c>
      <c r="AN106" s="14">
        <v>5</v>
      </c>
      <c r="AO106" s="17">
        <f t="shared" si="4"/>
        <v>41</v>
      </c>
      <c r="AP106" s="17">
        <f t="shared" si="5"/>
        <v>91.111111111111114</v>
      </c>
      <c r="AQ106" s="16">
        <v>5</v>
      </c>
      <c r="AR106" s="16">
        <v>5</v>
      </c>
      <c r="AS106" s="16">
        <v>5</v>
      </c>
      <c r="AT106" s="16">
        <v>5</v>
      </c>
      <c r="AU106" s="16">
        <v>5</v>
      </c>
      <c r="AV106" s="16">
        <v>5</v>
      </c>
      <c r="AW106" s="16">
        <v>5</v>
      </c>
      <c r="AX106" s="16">
        <v>4</v>
      </c>
      <c r="AY106" s="16">
        <v>5</v>
      </c>
      <c r="AZ106" s="16">
        <v>5</v>
      </c>
      <c r="BA106" s="18">
        <f t="shared" si="6"/>
        <v>49</v>
      </c>
      <c r="BB106" s="18">
        <f t="shared" si="7"/>
        <v>98</v>
      </c>
    </row>
    <row r="107" spans="1:54" ht="22.5" customHeight="1" x14ac:dyDescent="0.2">
      <c r="A107" s="9" t="s">
        <v>52</v>
      </c>
      <c r="B107" s="9" t="s">
        <v>54</v>
      </c>
      <c r="C107" s="9" t="s">
        <v>55</v>
      </c>
      <c r="D107" s="1" t="s">
        <v>57</v>
      </c>
      <c r="E107" s="9" t="s">
        <v>60</v>
      </c>
      <c r="F107" s="9" t="s">
        <v>60</v>
      </c>
      <c r="G107" s="9" t="s">
        <v>61</v>
      </c>
      <c r="H107" s="9" t="s">
        <v>57</v>
      </c>
      <c r="I107" s="9" t="s">
        <v>72</v>
      </c>
      <c r="J107" s="11">
        <v>1</v>
      </c>
      <c r="K107" s="11">
        <v>1</v>
      </c>
      <c r="L107" s="11">
        <v>1</v>
      </c>
      <c r="M107" s="11">
        <v>0.5</v>
      </c>
      <c r="N107" s="11">
        <v>2</v>
      </c>
      <c r="O107" s="11">
        <v>1</v>
      </c>
      <c r="P107" s="11">
        <v>1.5</v>
      </c>
      <c r="Q107" s="11">
        <v>1</v>
      </c>
      <c r="R107" s="11">
        <v>1.5</v>
      </c>
      <c r="S107" s="11">
        <v>2</v>
      </c>
      <c r="T107" s="13">
        <f t="shared" si="0"/>
        <v>12.5</v>
      </c>
      <c r="U107" s="13">
        <f t="shared" si="1"/>
        <v>69.444444444444443</v>
      </c>
      <c r="V107" s="12">
        <v>1</v>
      </c>
      <c r="W107" s="12">
        <v>1</v>
      </c>
      <c r="X107" s="12">
        <v>0</v>
      </c>
      <c r="Y107" s="12">
        <v>1</v>
      </c>
      <c r="Z107" s="12">
        <v>1</v>
      </c>
      <c r="AA107" s="12">
        <v>1</v>
      </c>
      <c r="AB107" s="12">
        <v>1</v>
      </c>
      <c r="AC107" s="12">
        <v>1</v>
      </c>
      <c r="AD107" s="15">
        <f t="shared" si="2"/>
        <v>7</v>
      </c>
      <c r="AE107" s="15">
        <f t="shared" si="3"/>
        <v>87.5</v>
      </c>
      <c r="AF107" s="14">
        <v>5</v>
      </c>
      <c r="AG107" s="14">
        <v>3</v>
      </c>
      <c r="AH107" s="14">
        <v>4</v>
      </c>
      <c r="AI107" s="14">
        <v>5</v>
      </c>
      <c r="AJ107" s="14">
        <v>4</v>
      </c>
      <c r="AK107" s="14">
        <v>4</v>
      </c>
      <c r="AL107" s="14">
        <v>4</v>
      </c>
      <c r="AM107" s="14">
        <v>5</v>
      </c>
      <c r="AN107" s="14">
        <v>4</v>
      </c>
      <c r="AO107" s="17">
        <f t="shared" si="4"/>
        <v>38</v>
      </c>
      <c r="AP107" s="17">
        <f t="shared" si="5"/>
        <v>84.444444444444443</v>
      </c>
      <c r="AQ107" s="16">
        <v>4</v>
      </c>
      <c r="AR107" s="16">
        <v>4</v>
      </c>
      <c r="AS107" s="16">
        <v>5</v>
      </c>
      <c r="AT107" s="16">
        <v>3</v>
      </c>
      <c r="AU107" s="16">
        <v>5</v>
      </c>
      <c r="AV107" s="16">
        <v>3</v>
      </c>
      <c r="AW107" s="16">
        <v>3</v>
      </c>
      <c r="AX107" s="16">
        <v>4</v>
      </c>
      <c r="AY107" s="16">
        <v>5</v>
      </c>
      <c r="AZ107" s="16">
        <v>2</v>
      </c>
      <c r="BA107" s="18">
        <f t="shared" si="6"/>
        <v>38</v>
      </c>
      <c r="BB107" s="18">
        <f t="shared" si="7"/>
        <v>76</v>
      </c>
    </row>
    <row r="108" spans="1:54" ht="22.5" customHeight="1" x14ac:dyDescent="0.2">
      <c r="A108" s="9" t="s">
        <v>52</v>
      </c>
      <c r="B108" s="9" t="s">
        <v>54</v>
      </c>
      <c r="C108" s="9" t="s">
        <v>69</v>
      </c>
      <c r="D108" s="1" t="s">
        <v>75</v>
      </c>
      <c r="E108" s="9" t="s">
        <v>71</v>
      </c>
      <c r="F108" s="9" t="s">
        <v>60</v>
      </c>
      <c r="G108" s="9" t="s">
        <v>61</v>
      </c>
      <c r="H108" s="9" t="s">
        <v>57</v>
      </c>
      <c r="I108" s="9" t="s">
        <v>72</v>
      </c>
      <c r="J108" s="11">
        <v>0</v>
      </c>
      <c r="K108" s="11">
        <v>0</v>
      </c>
      <c r="L108" s="11">
        <v>1</v>
      </c>
      <c r="M108" s="11">
        <v>1</v>
      </c>
      <c r="N108" s="11">
        <v>1</v>
      </c>
      <c r="O108" s="11">
        <v>0</v>
      </c>
      <c r="P108" s="11">
        <v>1</v>
      </c>
      <c r="Q108" s="11">
        <v>0</v>
      </c>
      <c r="R108" s="11">
        <v>2</v>
      </c>
      <c r="S108" s="11">
        <v>0.5</v>
      </c>
      <c r="T108" s="13">
        <f t="shared" si="0"/>
        <v>6.5</v>
      </c>
      <c r="U108" s="13">
        <f t="shared" si="1"/>
        <v>36.111111111111107</v>
      </c>
      <c r="V108" s="12">
        <v>1</v>
      </c>
      <c r="W108" s="12">
        <v>1</v>
      </c>
      <c r="X108" s="12">
        <v>1</v>
      </c>
      <c r="Y108" s="12">
        <v>0</v>
      </c>
      <c r="Z108" s="12">
        <v>1</v>
      </c>
      <c r="AA108" s="12">
        <v>0</v>
      </c>
      <c r="AB108" s="12">
        <v>1</v>
      </c>
      <c r="AC108" s="12">
        <v>1</v>
      </c>
      <c r="AD108" s="15">
        <f t="shared" si="2"/>
        <v>6</v>
      </c>
      <c r="AE108" s="15">
        <f t="shared" si="3"/>
        <v>75</v>
      </c>
      <c r="AF108" s="14">
        <v>4</v>
      </c>
      <c r="AG108" s="14">
        <v>5</v>
      </c>
      <c r="AH108" s="14">
        <v>2</v>
      </c>
      <c r="AI108" s="14">
        <v>3</v>
      </c>
      <c r="AJ108" s="14">
        <v>5</v>
      </c>
      <c r="AK108" s="14">
        <v>5</v>
      </c>
      <c r="AL108" s="14">
        <v>4</v>
      </c>
      <c r="AM108" s="14">
        <v>5</v>
      </c>
      <c r="AN108" s="14">
        <v>4</v>
      </c>
      <c r="AO108" s="17">
        <f t="shared" si="4"/>
        <v>37</v>
      </c>
      <c r="AP108" s="17">
        <f t="shared" si="5"/>
        <v>82.222222222222214</v>
      </c>
      <c r="AQ108" s="16">
        <v>2</v>
      </c>
      <c r="AR108" s="16">
        <v>2</v>
      </c>
      <c r="AS108" s="16">
        <v>2</v>
      </c>
      <c r="AT108" s="16">
        <v>2</v>
      </c>
      <c r="AU108" s="16">
        <v>1</v>
      </c>
      <c r="AV108" s="16">
        <v>2</v>
      </c>
      <c r="AW108" s="16">
        <v>2</v>
      </c>
      <c r="AX108" s="16">
        <v>3</v>
      </c>
      <c r="AY108" s="16">
        <v>1</v>
      </c>
      <c r="AZ108" s="16">
        <v>2</v>
      </c>
      <c r="BA108" s="18">
        <f t="shared" si="6"/>
        <v>19</v>
      </c>
      <c r="BB108" s="18">
        <f t="shared" si="7"/>
        <v>38</v>
      </c>
    </row>
    <row r="109" spans="1:54" ht="22.5" customHeight="1" x14ac:dyDescent="0.2">
      <c r="A109" s="9" t="s">
        <v>67</v>
      </c>
      <c r="B109" s="9" t="s">
        <v>68</v>
      </c>
      <c r="C109" s="9" t="s">
        <v>69</v>
      </c>
      <c r="D109" s="1" t="s">
        <v>70</v>
      </c>
      <c r="E109" s="9" t="s">
        <v>71</v>
      </c>
      <c r="F109" s="9" t="s">
        <v>85</v>
      </c>
      <c r="G109" s="9" t="s">
        <v>61</v>
      </c>
      <c r="H109" s="9" t="s">
        <v>57</v>
      </c>
      <c r="I109" s="9" t="s">
        <v>72</v>
      </c>
      <c r="J109" s="11">
        <v>1</v>
      </c>
      <c r="K109" s="11">
        <v>1</v>
      </c>
      <c r="L109" s="11">
        <v>2</v>
      </c>
      <c r="M109" s="11">
        <v>1</v>
      </c>
      <c r="N109" s="11">
        <v>2</v>
      </c>
      <c r="O109" s="11">
        <v>1</v>
      </c>
      <c r="P109" s="11">
        <v>2</v>
      </c>
      <c r="Q109" s="11">
        <v>1</v>
      </c>
      <c r="R109" s="11">
        <v>1.5</v>
      </c>
      <c r="S109" s="11">
        <v>1.5</v>
      </c>
      <c r="T109" s="13">
        <f t="shared" si="0"/>
        <v>14</v>
      </c>
      <c r="U109" s="13">
        <f t="shared" si="1"/>
        <v>77.777777777777786</v>
      </c>
      <c r="V109" s="12">
        <v>1</v>
      </c>
      <c r="W109" s="12">
        <v>1</v>
      </c>
      <c r="X109" s="12">
        <v>1</v>
      </c>
      <c r="Y109" s="12">
        <v>1</v>
      </c>
      <c r="Z109" s="12">
        <v>1</v>
      </c>
      <c r="AA109" s="12">
        <v>1</v>
      </c>
      <c r="AB109" s="12">
        <v>1</v>
      </c>
      <c r="AC109" s="12">
        <v>1</v>
      </c>
      <c r="AD109" s="15">
        <f t="shared" si="2"/>
        <v>8</v>
      </c>
      <c r="AE109" s="15">
        <f t="shared" si="3"/>
        <v>100</v>
      </c>
      <c r="AF109" s="14">
        <v>1</v>
      </c>
      <c r="AG109" s="14">
        <v>5</v>
      </c>
      <c r="AH109" s="14">
        <v>5</v>
      </c>
      <c r="AI109" s="14">
        <v>5</v>
      </c>
      <c r="AJ109" s="14">
        <v>4</v>
      </c>
      <c r="AK109" s="14">
        <v>5</v>
      </c>
      <c r="AL109" s="14">
        <v>5</v>
      </c>
      <c r="AM109" s="14">
        <v>5</v>
      </c>
      <c r="AN109" s="14">
        <v>5</v>
      </c>
      <c r="AO109" s="17">
        <f t="shared" si="4"/>
        <v>40</v>
      </c>
      <c r="AP109" s="17">
        <f t="shared" si="5"/>
        <v>88.888888888888886</v>
      </c>
      <c r="AQ109" s="16">
        <v>5</v>
      </c>
      <c r="AR109" s="16">
        <v>5</v>
      </c>
      <c r="AS109" s="16">
        <v>5</v>
      </c>
      <c r="AT109" s="16">
        <v>2</v>
      </c>
      <c r="AU109" s="16">
        <v>5</v>
      </c>
      <c r="AV109" s="16">
        <v>3</v>
      </c>
      <c r="AW109" s="16">
        <v>1</v>
      </c>
      <c r="AX109" s="16">
        <v>2</v>
      </c>
      <c r="AY109" s="16">
        <v>5</v>
      </c>
      <c r="AZ109" s="16">
        <v>5</v>
      </c>
      <c r="BA109" s="18">
        <f t="shared" si="6"/>
        <v>38</v>
      </c>
      <c r="BB109" s="18">
        <f t="shared" si="7"/>
        <v>76</v>
      </c>
    </row>
    <row r="110" spans="1:54" ht="22.5" customHeight="1" x14ac:dyDescent="0.2">
      <c r="A110" s="9" t="s">
        <v>74</v>
      </c>
      <c r="B110" s="9" t="s">
        <v>68</v>
      </c>
      <c r="C110" s="9" t="s">
        <v>55</v>
      </c>
      <c r="D110" s="1" t="s">
        <v>57</v>
      </c>
      <c r="E110" s="9" t="s">
        <v>71</v>
      </c>
      <c r="F110" s="9" t="s">
        <v>60</v>
      </c>
      <c r="G110" s="9" t="s">
        <v>61</v>
      </c>
      <c r="H110" s="9" t="s">
        <v>57</v>
      </c>
      <c r="I110" s="9" t="s">
        <v>72</v>
      </c>
      <c r="J110" s="11">
        <v>1</v>
      </c>
      <c r="K110" s="11">
        <v>1</v>
      </c>
      <c r="L110" s="11">
        <v>0</v>
      </c>
      <c r="M110" s="11">
        <v>1</v>
      </c>
      <c r="N110" s="11">
        <v>1</v>
      </c>
      <c r="O110" s="11">
        <v>1</v>
      </c>
      <c r="P110" s="11">
        <v>2</v>
      </c>
      <c r="Q110" s="11">
        <v>1</v>
      </c>
      <c r="R110" s="11">
        <v>2</v>
      </c>
      <c r="S110" s="11">
        <v>1.5</v>
      </c>
      <c r="T110" s="13">
        <f t="shared" si="0"/>
        <v>11.5</v>
      </c>
      <c r="U110" s="13">
        <f t="shared" si="1"/>
        <v>63.888888888888886</v>
      </c>
      <c r="V110" s="12">
        <v>1</v>
      </c>
      <c r="W110" s="12">
        <v>1</v>
      </c>
      <c r="X110" s="12">
        <v>0</v>
      </c>
      <c r="Y110" s="12">
        <v>1</v>
      </c>
      <c r="Z110" s="12">
        <v>1</v>
      </c>
      <c r="AA110" s="12">
        <v>1</v>
      </c>
      <c r="AB110" s="12">
        <v>1</v>
      </c>
      <c r="AC110" s="12">
        <v>1</v>
      </c>
      <c r="AD110" s="15">
        <f t="shared" si="2"/>
        <v>7</v>
      </c>
      <c r="AE110" s="15">
        <f t="shared" si="3"/>
        <v>87.5</v>
      </c>
      <c r="AF110" s="14">
        <v>3</v>
      </c>
      <c r="AG110" s="14">
        <v>4</v>
      </c>
      <c r="AH110" s="14">
        <v>5</v>
      </c>
      <c r="AI110" s="14">
        <v>3</v>
      </c>
      <c r="AJ110" s="14">
        <v>1</v>
      </c>
      <c r="AK110" s="14">
        <v>4</v>
      </c>
      <c r="AL110" s="14">
        <v>4</v>
      </c>
      <c r="AM110" s="14">
        <v>3</v>
      </c>
      <c r="AN110" s="14">
        <v>5</v>
      </c>
      <c r="AO110" s="17">
        <f t="shared" si="4"/>
        <v>32</v>
      </c>
      <c r="AP110" s="17">
        <f t="shared" si="5"/>
        <v>71.111111111111114</v>
      </c>
      <c r="AQ110" s="16">
        <v>3</v>
      </c>
      <c r="AR110" s="16">
        <v>3</v>
      </c>
      <c r="AS110" s="16">
        <v>3</v>
      </c>
      <c r="AT110" s="16">
        <v>4</v>
      </c>
      <c r="AU110" s="16">
        <v>5</v>
      </c>
      <c r="AV110" s="16">
        <v>1</v>
      </c>
      <c r="AW110" s="16">
        <v>3</v>
      </c>
      <c r="AX110" s="16">
        <v>3</v>
      </c>
      <c r="AY110" s="16">
        <v>5</v>
      </c>
      <c r="AZ110" s="16">
        <v>4</v>
      </c>
      <c r="BA110" s="18">
        <f t="shared" si="6"/>
        <v>34</v>
      </c>
      <c r="BB110" s="18">
        <f t="shared" si="7"/>
        <v>68</v>
      </c>
    </row>
    <row r="111" spans="1:54" ht="22.5" customHeight="1" x14ac:dyDescent="0.2">
      <c r="A111" s="9" t="s">
        <v>67</v>
      </c>
      <c r="B111" s="9" t="s">
        <v>54</v>
      </c>
      <c r="C111" s="9" t="s">
        <v>55</v>
      </c>
      <c r="D111" s="1" t="s">
        <v>70</v>
      </c>
      <c r="E111" s="9" t="s">
        <v>60</v>
      </c>
      <c r="F111" s="9" t="s">
        <v>60</v>
      </c>
      <c r="G111" s="9" t="s">
        <v>61</v>
      </c>
      <c r="H111" s="9" t="s">
        <v>57</v>
      </c>
      <c r="I111" s="9" t="s">
        <v>96</v>
      </c>
      <c r="J111" s="11">
        <v>1</v>
      </c>
      <c r="K111" s="11">
        <v>1</v>
      </c>
      <c r="L111" s="11">
        <v>0</v>
      </c>
      <c r="M111" s="11">
        <v>0.5</v>
      </c>
      <c r="N111" s="11">
        <v>2</v>
      </c>
      <c r="O111" s="11">
        <v>1</v>
      </c>
      <c r="P111" s="11">
        <v>1.5</v>
      </c>
      <c r="Q111" s="11">
        <v>0</v>
      </c>
      <c r="R111" s="11">
        <v>2</v>
      </c>
      <c r="S111" s="11">
        <v>2</v>
      </c>
      <c r="T111" s="13">
        <f t="shared" si="0"/>
        <v>11</v>
      </c>
      <c r="U111" s="13">
        <f t="shared" si="1"/>
        <v>61.111111111111114</v>
      </c>
      <c r="V111" s="12">
        <v>1</v>
      </c>
      <c r="W111" s="12">
        <v>1</v>
      </c>
      <c r="X111" s="12">
        <v>1</v>
      </c>
      <c r="Y111" s="12">
        <v>1</v>
      </c>
      <c r="Z111" s="12">
        <v>1</v>
      </c>
      <c r="AA111" s="12">
        <v>0</v>
      </c>
      <c r="AB111" s="12">
        <v>1</v>
      </c>
      <c r="AC111" s="12">
        <v>1</v>
      </c>
      <c r="AD111" s="15">
        <f t="shared" si="2"/>
        <v>7</v>
      </c>
      <c r="AE111" s="15">
        <f t="shared" si="3"/>
        <v>87.5</v>
      </c>
      <c r="AF111" s="14">
        <v>3</v>
      </c>
      <c r="AG111" s="14">
        <v>4</v>
      </c>
      <c r="AH111" s="14">
        <v>4</v>
      </c>
      <c r="AI111" s="14">
        <v>5</v>
      </c>
      <c r="AJ111" s="14">
        <v>4</v>
      </c>
      <c r="AK111" s="14">
        <v>5</v>
      </c>
      <c r="AL111" s="14">
        <v>3</v>
      </c>
      <c r="AM111" s="14">
        <v>3</v>
      </c>
      <c r="AN111" s="14">
        <v>3</v>
      </c>
      <c r="AO111" s="17">
        <f t="shared" si="4"/>
        <v>34</v>
      </c>
      <c r="AP111" s="17">
        <f t="shared" si="5"/>
        <v>75.555555555555557</v>
      </c>
      <c r="AQ111" s="16">
        <v>3</v>
      </c>
      <c r="AR111" s="16">
        <v>5</v>
      </c>
      <c r="AS111" s="16">
        <v>5</v>
      </c>
      <c r="AT111" s="16">
        <v>5</v>
      </c>
      <c r="AU111" s="16">
        <v>5</v>
      </c>
      <c r="AV111" s="16">
        <v>5</v>
      </c>
      <c r="AW111" s="16">
        <v>4</v>
      </c>
      <c r="AX111" s="16">
        <v>2</v>
      </c>
      <c r="AY111" s="16">
        <v>5</v>
      </c>
      <c r="AZ111" s="16">
        <v>5</v>
      </c>
      <c r="BA111" s="18">
        <f t="shared" si="6"/>
        <v>44</v>
      </c>
      <c r="BB111" s="18">
        <f t="shared" si="7"/>
        <v>88</v>
      </c>
    </row>
    <row r="112" spans="1:54" ht="22.5" customHeight="1" x14ac:dyDescent="0.2">
      <c r="A112" s="9" t="s">
        <v>52</v>
      </c>
      <c r="B112" s="9" t="s">
        <v>68</v>
      </c>
      <c r="C112" s="9" t="s">
        <v>69</v>
      </c>
      <c r="D112" s="1" t="s">
        <v>100</v>
      </c>
      <c r="E112" s="9" t="s">
        <v>92</v>
      </c>
      <c r="F112" s="9" t="s">
        <v>85</v>
      </c>
      <c r="G112" s="9" t="s">
        <v>61</v>
      </c>
      <c r="H112" s="9" t="s">
        <v>99</v>
      </c>
      <c r="I112" s="9" t="s">
        <v>72</v>
      </c>
      <c r="J112" s="11">
        <v>1</v>
      </c>
      <c r="K112" s="11">
        <v>1</v>
      </c>
      <c r="L112" s="11">
        <v>1</v>
      </c>
      <c r="M112" s="11">
        <v>2</v>
      </c>
      <c r="N112" s="11">
        <v>0.5</v>
      </c>
      <c r="O112" s="11">
        <v>1</v>
      </c>
      <c r="P112" s="11">
        <v>1.5</v>
      </c>
      <c r="Q112" s="11">
        <v>1</v>
      </c>
      <c r="R112" s="11">
        <v>1.5</v>
      </c>
      <c r="S112" s="11">
        <v>2</v>
      </c>
      <c r="T112" s="13">
        <f t="shared" si="0"/>
        <v>12.5</v>
      </c>
      <c r="U112" s="13">
        <f t="shared" si="1"/>
        <v>69.444444444444443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5">
        <f t="shared" si="2"/>
        <v>0</v>
      </c>
      <c r="AE112" s="15">
        <f t="shared" si="3"/>
        <v>0</v>
      </c>
      <c r="AF112" s="14">
        <v>1</v>
      </c>
      <c r="AG112" s="14">
        <v>3</v>
      </c>
      <c r="AH112" s="14">
        <v>3</v>
      </c>
      <c r="AI112" s="14">
        <v>5</v>
      </c>
      <c r="AJ112" s="14">
        <v>3</v>
      </c>
      <c r="AK112" s="14">
        <v>4</v>
      </c>
      <c r="AL112" s="14">
        <v>5</v>
      </c>
      <c r="AM112" s="14">
        <v>5</v>
      </c>
      <c r="AN112" s="14">
        <v>4</v>
      </c>
      <c r="AO112" s="17">
        <f t="shared" si="4"/>
        <v>33</v>
      </c>
      <c r="AP112" s="17">
        <f t="shared" si="5"/>
        <v>73.333333333333329</v>
      </c>
      <c r="AQ112" s="16">
        <v>5</v>
      </c>
      <c r="AR112" s="16">
        <v>3</v>
      </c>
      <c r="AS112" s="16">
        <v>3</v>
      </c>
      <c r="AT112" s="16">
        <v>5</v>
      </c>
      <c r="AU112" s="16">
        <v>5</v>
      </c>
      <c r="AV112" s="16">
        <v>2</v>
      </c>
      <c r="AW112" s="16">
        <v>5</v>
      </c>
      <c r="AX112" s="16">
        <v>3</v>
      </c>
      <c r="AY112" s="16">
        <v>5</v>
      </c>
      <c r="AZ112" s="16">
        <v>5</v>
      </c>
      <c r="BA112" s="18">
        <f t="shared" si="6"/>
        <v>41</v>
      </c>
      <c r="BB112" s="18">
        <f t="shared" si="7"/>
        <v>82</v>
      </c>
    </row>
    <row r="113" spans="1:54" ht="22.5" customHeight="1" x14ac:dyDescent="0.2">
      <c r="A113" s="9" t="s">
        <v>74</v>
      </c>
      <c r="B113" s="9" t="s">
        <v>68</v>
      </c>
      <c r="C113" s="9" t="s">
        <v>55</v>
      </c>
      <c r="D113" s="1" t="s">
        <v>100</v>
      </c>
      <c r="E113" s="9" t="s">
        <v>60</v>
      </c>
      <c r="F113" s="9" t="s">
        <v>85</v>
      </c>
      <c r="G113" s="9" t="s">
        <v>61</v>
      </c>
      <c r="H113" s="9" t="s">
        <v>101</v>
      </c>
      <c r="I113" s="9" t="s">
        <v>62</v>
      </c>
      <c r="J113" s="11">
        <v>0</v>
      </c>
      <c r="K113" s="11">
        <v>0</v>
      </c>
      <c r="L113" s="11">
        <v>1</v>
      </c>
      <c r="M113" s="11">
        <v>1</v>
      </c>
      <c r="N113" s="11">
        <v>1</v>
      </c>
      <c r="O113" s="11">
        <v>1</v>
      </c>
      <c r="P113" s="11">
        <v>2</v>
      </c>
      <c r="Q113" s="11">
        <v>0</v>
      </c>
      <c r="R113" s="11">
        <v>1</v>
      </c>
      <c r="S113" s="11">
        <v>1</v>
      </c>
      <c r="T113" s="13">
        <f t="shared" si="0"/>
        <v>8</v>
      </c>
      <c r="U113" s="13">
        <f t="shared" si="1"/>
        <v>44.444444444444443</v>
      </c>
      <c r="V113" s="12">
        <v>0</v>
      </c>
      <c r="W113" s="12">
        <v>1</v>
      </c>
      <c r="X113" s="12">
        <v>1</v>
      </c>
      <c r="Y113" s="12">
        <v>1</v>
      </c>
      <c r="Z113" s="12">
        <v>1</v>
      </c>
      <c r="AA113" s="12">
        <v>1</v>
      </c>
      <c r="AB113" s="12">
        <v>0</v>
      </c>
      <c r="AC113" s="12">
        <v>1</v>
      </c>
      <c r="AD113" s="15">
        <f t="shared" si="2"/>
        <v>6</v>
      </c>
      <c r="AE113" s="15">
        <f t="shared" si="3"/>
        <v>75</v>
      </c>
      <c r="AF113" s="14">
        <v>4</v>
      </c>
      <c r="AG113" s="14">
        <v>4</v>
      </c>
      <c r="AH113" s="14">
        <v>4</v>
      </c>
      <c r="AI113" s="14">
        <v>4</v>
      </c>
      <c r="AJ113" s="14">
        <v>5</v>
      </c>
      <c r="AK113" s="14">
        <v>2</v>
      </c>
      <c r="AL113" s="14">
        <v>2</v>
      </c>
      <c r="AM113" s="14">
        <v>5</v>
      </c>
      <c r="AN113" s="14">
        <v>5</v>
      </c>
      <c r="AO113" s="17">
        <f t="shared" si="4"/>
        <v>35</v>
      </c>
      <c r="AP113" s="17">
        <f t="shared" si="5"/>
        <v>77.777777777777786</v>
      </c>
      <c r="AQ113" s="16">
        <v>5</v>
      </c>
      <c r="AR113" s="16">
        <v>3</v>
      </c>
      <c r="AS113" s="16">
        <v>5</v>
      </c>
      <c r="AT113" s="16">
        <v>5</v>
      </c>
      <c r="AU113" s="16">
        <v>5</v>
      </c>
      <c r="AV113" s="16">
        <v>2</v>
      </c>
      <c r="AW113" s="16">
        <v>4</v>
      </c>
      <c r="AX113" s="16">
        <v>2</v>
      </c>
      <c r="AY113" s="16">
        <v>5</v>
      </c>
      <c r="AZ113" s="16">
        <v>4</v>
      </c>
      <c r="BA113" s="18">
        <f t="shared" si="6"/>
        <v>40</v>
      </c>
      <c r="BB113" s="18">
        <f t="shared" si="7"/>
        <v>80</v>
      </c>
    </row>
    <row r="114" spans="1:54" ht="22.5" customHeight="1" x14ac:dyDescent="0.2">
      <c r="A114" s="9" t="s">
        <v>74</v>
      </c>
      <c r="B114" s="9" t="s">
        <v>54</v>
      </c>
      <c r="C114" s="9" t="s">
        <v>55</v>
      </c>
      <c r="D114" s="1" t="s">
        <v>70</v>
      </c>
      <c r="E114" s="9" t="s">
        <v>60</v>
      </c>
      <c r="F114" s="9" t="s">
        <v>60</v>
      </c>
      <c r="G114" s="9" t="s">
        <v>86</v>
      </c>
      <c r="H114" s="9" t="s">
        <v>99</v>
      </c>
      <c r="I114" s="9" t="s">
        <v>62</v>
      </c>
      <c r="J114" s="11">
        <v>0</v>
      </c>
      <c r="K114" s="11">
        <v>0</v>
      </c>
      <c r="L114" s="11">
        <v>4</v>
      </c>
      <c r="M114" s="11">
        <v>0</v>
      </c>
      <c r="N114" s="11">
        <v>2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3">
        <f t="shared" si="0"/>
        <v>6</v>
      </c>
      <c r="U114" s="13">
        <f t="shared" si="1"/>
        <v>33.333333333333329</v>
      </c>
      <c r="V114" s="12">
        <v>1</v>
      </c>
      <c r="W114" s="12">
        <v>1</v>
      </c>
      <c r="X114" s="12">
        <v>1</v>
      </c>
      <c r="Y114" s="12">
        <v>1</v>
      </c>
      <c r="Z114" s="12">
        <v>1</v>
      </c>
      <c r="AA114" s="12">
        <v>1</v>
      </c>
      <c r="AB114" s="12">
        <v>1</v>
      </c>
      <c r="AC114" s="12">
        <v>1</v>
      </c>
      <c r="AD114" s="15">
        <f t="shared" si="2"/>
        <v>8</v>
      </c>
      <c r="AE114" s="15">
        <f t="shared" si="3"/>
        <v>100</v>
      </c>
      <c r="AF114" s="14">
        <v>5</v>
      </c>
      <c r="AG114" s="14">
        <v>5</v>
      </c>
      <c r="AH114" s="14">
        <v>5</v>
      </c>
      <c r="AI114" s="14">
        <v>5</v>
      </c>
      <c r="AJ114" s="14">
        <v>5</v>
      </c>
      <c r="AK114" s="14">
        <v>5</v>
      </c>
      <c r="AL114" s="14">
        <v>5</v>
      </c>
      <c r="AM114" s="14">
        <v>5</v>
      </c>
      <c r="AN114" s="14">
        <v>5</v>
      </c>
      <c r="AO114" s="17">
        <f t="shared" si="4"/>
        <v>45</v>
      </c>
      <c r="AP114" s="17">
        <f t="shared" si="5"/>
        <v>100</v>
      </c>
      <c r="AQ114" s="16">
        <v>5</v>
      </c>
      <c r="AR114" s="16">
        <v>5</v>
      </c>
      <c r="AS114" s="16">
        <v>5</v>
      </c>
      <c r="AT114" s="16">
        <v>5</v>
      </c>
      <c r="AU114" s="16">
        <v>5</v>
      </c>
      <c r="AV114" s="16">
        <v>5</v>
      </c>
      <c r="AW114" s="16">
        <v>5</v>
      </c>
      <c r="AX114" s="16">
        <v>5</v>
      </c>
      <c r="AY114" s="16">
        <v>5</v>
      </c>
      <c r="AZ114" s="16">
        <v>5</v>
      </c>
      <c r="BA114" s="18">
        <f t="shared" si="6"/>
        <v>50</v>
      </c>
      <c r="BB114" s="18">
        <f t="shared" si="7"/>
        <v>100</v>
      </c>
    </row>
    <row r="115" spans="1:54" ht="22.5" customHeight="1" x14ac:dyDescent="0.2">
      <c r="A115" s="9" t="s">
        <v>93</v>
      </c>
      <c r="B115" s="9" t="s">
        <v>54</v>
      </c>
      <c r="C115" s="9" t="s">
        <v>69</v>
      </c>
      <c r="D115" s="1" t="s">
        <v>100</v>
      </c>
      <c r="E115" s="9" t="s">
        <v>85</v>
      </c>
      <c r="F115" s="9" t="s">
        <v>85</v>
      </c>
      <c r="G115" s="9" t="s">
        <v>61</v>
      </c>
      <c r="H115" s="9" t="s">
        <v>57</v>
      </c>
      <c r="I115" s="9" t="s">
        <v>81</v>
      </c>
      <c r="J115" s="11">
        <v>1</v>
      </c>
      <c r="K115" s="11">
        <v>1</v>
      </c>
      <c r="L115" s="11">
        <v>0</v>
      </c>
      <c r="M115" s="11">
        <v>1</v>
      </c>
      <c r="N115" s="11">
        <v>0.5</v>
      </c>
      <c r="O115" s="11">
        <v>1</v>
      </c>
      <c r="P115" s="11">
        <v>2</v>
      </c>
      <c r="Q115" s="11">
        <v>1</v>
      </c>
      <c r="R115" s="11">
        <v>2</v>
      </c>
      <c r="S115" s="11">
        <v>2</v>
      </c>
      <c r="T115" s="13">
        <f t="shared" si="0"/>
        <v>11.5</v>
      </c>
      <c r="U115" s="13">
        <f t="shared" si="1"/>
        <v>63.888888888888886</v>
      </c>
      <c r="V115" s="12">
        <v>1</v>
      </c>
      <c r="W115" s="12">
        <v>1</v>
      </c>
      <c r="X115" s="12">
        <v>1</v>
      </c>
      <c r="Y115" s="12">
        <v>1</v>
      </c>
      <c r="Z115" s="12">
        <v>1</v>
      </c>
      <c r="AA115" s="12">
        <v>1</v>
      </c>
      <c r="AB115" s="12">
        <v>1</v>
      </c>
      <c r="AC115" s="12">
        <v>1</v>
      </c>
      <c r="AD115" s="15">
        <f t="shared" si="2"/>
        <v>8</v>
      </c>
      <c r="AE115" s="15">
        <f t="shared" si="3"/>
        <v>100</v>
      </c>
      <c r="AF115" s="14">
        <v>5</v>
      </c>
      <c r="AG115" s="14">
        <v>5</v>
      </c>
      <c r="AH115" s="14">
        <v>5</v>
      </c>
      <c r="AI115" s="14">
        <v>5</v>
      </c>
      <c r="AJ115" s="14">
        <v>5</v>
      </c>
      <c r="AK115" s="14">
        <v>5</v>
      </c>
      <c r="AL115" s="14">
        <v>5</v>
      </c>
      <c r="AM115" s="14">
        <v>5</v>
      </c>
      <c r="AN115" s="14">
        <v>5</v>
      </c>
      <c r="AO115" s="17">
        <f t="shared" si="4"/>
        <v>45</v>
      </c>
      <c r="AP115" s="17">
        <f t="shared" si="5"/>
        <v>100</v>
      </c>
      <c r="AQ115" s="16">
        <v>3</v>
      </c>
      <c r="AR115" s="16">
        <v>3</v>
      </c>
      <c r="AS115" s="16">
        <v>3</v>
      </c>
      <c r="AT115" s="16">
        <v>3</v>
      </c>
      <c r="AU115" s="16">
        <v>1</v>
      </c>
      <c r="AV115" s="16">
        <v>5</v>
      </c>
      <c r="AW115" s="16">
        <v>3</v>
      </c>
      <c r="AX115" s="16">
        <v>3</v>
      </c>
      <c r="AY115" s="16">
        <v>1</v>
      </c>
      <c r="AZ115" s="16">
        <v>3</v>
      </c>
      <c r="BA115" s="18">
        <f t="shared" si="6"/>
        <v>28</v>
      </c>
      <c r="BB115" s="18">
        <f t="shared" si="7"/>
        <v>56.000000000000007</v>
      </c>
    </row>
    <row r="116" spans="1:54" ht="22.5" customHeight="1" x14ac:dyDescent="0.2">
      <c r="A116" s="9" t="s">
        <v>93</v>
      </c>
      <c r="B116" s="9" t="s">
        <v>54</v>
      </c>
      <c r="C116" s="9" t="s">
        <v>69</v>
      </c>
      <c r="D116" s="1" t="s">
        <v>57</v>
      </c>
      <c r="E116" s="9" t="s">
        <v>85</v>
      </c>
      <c r="F116" s="9" t="s">
        <v>60</v>
      </c>
      <c r="G116" s="9" t="s">
        <v>76</v>
      </c>
      <c r="H116" s="9" t="s">
        <v>101</v>
      </c>
      <c r="I116" s="9" t="s">
        <v>62</v>
      </c>
      <c r="J116" s="11">
        <v>1</v>
      </c>
      <c r="K116" s="11">
        <v>1</v>
      </c>
      <c r="L116" s="11">
        <v>0</v>
      </c>
      <c r="M116" s="11">
        <v>1</v>
      </c>
      <c r="N116" s="11">
        <v>0.5</v>
      </c>
      <c r="O116" s="11">
        <v>1</v>
      </c>
      <c r="P116" s="11">
        <v>2</v>
      </c>
      <c r="Q116" s="11">
        <v>1</v>
      </c>
      <c r="R116" s="11">
        <v>2</v>
      </c>
      <c r="S116" s="11">
        <v>2</v>
      </c>
      <c r="T116" s="13">
        <f t="shared" si="0"/>
        <v>11.5</v>
      </c>
      <c r="U116" s="13">
        <f t="shared" si="1"/>
        <v>63.888888888888886</v>
      </c>
      <c r="V116" s="12">
        <v>1</v>
      </c>
      <c r="W116" s="12">
        <v>1</v>
      </c>
      <c r="X116" s="12">
        <v>1</v>
      </c>
      <c r="Y116" s="12">
        <v>1</v>
      </c>
      <c r="Z116" s="12">
        <v>1</v>
      </c>
      <c r="AA116" s="12">
        <v>1</v>
      </c>
      <c r="AB116" s="12">
        <v>1</v>
      </c>
      <c r="AC116" s="12">
        <v>0</v>
      </c>
      <c r="AD116" s="15">
        <f t="shared" si="2"/>
        <v>7</v>
      </c>
      <c r="AE116" s="15">
        <f t="shared" si="3"/>
        <v>87.5</v>
      </c>
      <c r="AF116" s="14">
        <v>5</v>
      </c>
      <c r="AG116" s="14">
        <v>5</v>
      </c>
      <c r="AH116" s="14">
        <v>5</v>
      </c>
      <c r="AI116" s="14">
        <v>5</v>
      </c>
      <c r="AJ116" s="14">
        <v>5</v>
      </c>
      <c r="AK116" s="14">
        <v>5</v>
      </c>
      <c r="AL116" s="14">
        <v>5</v>
      </c>
      <c r="AM116" s="14">
        <v>5</v>
      </c>
      <c r="AN116" s="14">
        <v>5</v>
      </c>
      <c r="AO116" s="17">
        <f t="shared" si="4"/>
        <v>45</v>
      </c>
      <c r="AP116" s="17">
        <f t="shared" si="5"/>
        <v>100</v>
      </c>
      <c r="AQ116" s="16">
        <v>5</v>
      </c>
      <c r="AR116" s="16">
        <v>5</v>
      </c>
      <c r="AS116" s="16">
        <v>5</v>
      </c>
      <c r="AT116" s="16">
        <v>5</v>
      </c>
      <c r="AU116" s="16">
        <v>5</v>
      </c>
      <c r="AV116" s="16">
        <v>5</v>
      </c>
      <c r="AW116" s="16">
        <v>5</v>
      </c>
      <c r="AX116" s="16">
        <v>5</v>
      </c>
      <c r="AY116" s="16">
        <v>5</v>
      </c>
      <c r="AZ116" s="16">
        <v>5</v>
      </c>
      <c r="BA116" s="18">
        <f t="shared" si="6"/>
        <v>50</v>
      </c>
      <c r="BB116" s="18">
        <f t="shared" si="7"/>
        <v>100</v>
      </c>
    </row>
    <row r="117" spans="1:54" ht="22.5" customHeight="1" x14ac:dyDescent="0.2">
      <c r="A117" s="9" t="s">
        <v>67</v>
      </c>
      <c r="B117" s="9" t="s">
        <v>54</v>
      </c>
      <c r="C117" s="9" t="s">
        <v>55</v>
      </c>
      <c r="D117" s="1" t="s">
        <v>70</v>
      </c>
      <c r="E117" s="9" t="s">
        <v>85</v>
      </c>
      <c r="F117" s="9" t="s">
        <v>71</v>
      </c>
      <c r="G117" s="9" t="s">
        <v>76</v>
      </c>
      <c r="H117" s="9" t="s">
        <v>99</v>
      </c>
      <c r="I117" s="9" t="s">
        <v>62</v>
      </c>
      <c r="J117" s="11">
        <v>1</v>
      </c>
      <c r="K117" s="11">
        <v>1</v>
      </c>
      <c r="L117" s="11">
        <v>0</v>
      </c>
      <c r="M117" s="11">
        <v>1</v>
      </c>
      <c r="N117" s="11">
        <v>0.5</v>
      </c>
      <c r="O117" s="11">
        <v>1</v>
      </c>
      <c r="P117" s="11">
        <v>2</v>
      </c>
      <c r="Q117" s="11">
        <v>1</v>
      </c>
      <c r="R117" s="11">
        <v>2</v>
      </c>
      <c r="S117" s="11">
        <v>2</v>
      </c>
      <c r="T117" s="13">
        <f t="shared" si="0"/>
        <v>11.5</v>
      </c>
      <c r="U117" s="13">
        <f t="shared" si="1"/>
        <v>63.888888888888886</v>
      </c>
      <c r="V117" s="12">
        <v>1</v>
      </c>
      <c r="W117" s="12">
        <v>1</v>
      </c>
      <c r="X117" s="12">
        <v>1</v>
      </c>
      <c r="Y117" s="12">
        <v>1</v>
      </c>
      <c r="Z117" s="12">
        <v>1</v>
      </c>
      <c r="AA117" s="12">
        <v>1</v>
      </c>
      <c r="AB117" s="12">
        <v>1</v>
      </c>
      <c r="AC117" s="12">
        <v>1</v>
      </c>
      <c r="AD117" s="15">
        <f t="shared" si="2"/>
        <v>8</v>
      </c>
      <c r="AE117" s="15">
        <f t="shared" si="3"/>
        <v>100</v>
      </c>
      <c r="AF117" s="14">
        <v>3</v>
      </c>
      <c r="AG117" s="14">
        <v>3</v>
      </c>
      <c r="AH117" s="14">
        <v>3</v>
      </c>
      <c r="AI117" s="14">
        <v>3</v>
      </c>
      <c r="AJ117" s="14">
        <v>3</v>
      </c>
      <c r="AK117" s="14">
        <v>3</v>
      </c>
      <c r="AL117" s="14">
        <v>3</v>
      </c>
      <c r="AM117" s="14">
        <v>3</v>
      </c>
      <c r="AN117" s="14">
        <v>3</v>
      </c>
      <c r="AO117" s="17">
        <f t="shared" si="4"/>
        <v>27</v>
      </c>
      <c r="AP117" s="17">
        <f t="shared" si="5"/>
        <v>60</v>
      </c>
      <c r="AQ117" s="16">
        <v>2</v>
      </c>
      <c r="AR117" s="16">
        <v>2</v>
      </c>
      <c r="AS117" s="16">
        <v>2</v>
      </c>
      <c r="AT117" s="16">
        <v>2</v>
      </c>
      <c r="AU117" s="16">
        <v>1</v>
      </c>
      <c r="AV117" s="16">
        <v>2</v>
      </c>
      <c r="AW117" s="16">
        <v>2</v>
      </c>
      <c r="AX117" s="16">
        <v>2</v>
      </c>
      <c r="AY117" s="16">
        <v>1</v>
      </c>
      <c r="AZ117" s="16">
        <v>3</v>
      </c>
      <c r="BA117" s="18">
        <f t="shared" si="6"/>
        <v>19</v>
      </c>
      <c r="BB117" s="18">
        <f t="shared" si="7"/>
        <v>38</v>
      </c>
    </row>
    <row r="118" spans="1:54" ht="22.5" customHeight="1" x14ac:dyDescent="0.2">
      <c r="A118" s="9" t="s">
        <v>74</v>
      </c>
      <c r="B118" s="9" t="s">
        <v>54</v>
      </c>
      <c r="C118" s="9" t="s">
        <v>55</v>
      </c>
      <c r="D118" s="1" t="s">
        <v>84</v>
      </c>
      <c r="E118" s="9" t="s">
        <v>60</v>
      </c>
      <c r="F118" s="9" t="s">
        <v>60</v>
      </c>
      <c r="G118" s="9" t="s">
        <v>61</v>
      </c>
      <c r="H118" s="9" t="s">
        <v>101</v>
      </c>
      <c r="I118" s="9" t="s">
        <v>72</v>
      </c>
      <c r="J118" s="11">
        <v>1</v>
      </c>
      <c r="K118" s="11">
        <v>1</v>
      </c>
      <c r="L118" s="11">
        <v>0</v>
      </c>
      <c r="M118" s="11">
        <v>2</v>
      </c>
      <c r="N118" s="11">
        <v>1.5</v>
      </c>
      <c r="O118" s="11">
        <v>0</v>
      </c>
      <c r="P118" s="11">
        <v>0.5</v>
      </c>
      <c r="Q118" s="11">
        <v>0</v>
      </c>
      <c r="R118" s="11">
        <v>0</v>
      </c>
      <c r="S118" s="11">
        <v>1</v>
      </c>
      <c r="T118" s="13">
        <f t="shared" si="0"/>
        <v>7</v>
      </c>
      <c r="U118" s="13">
        <f t="shared" si="1"/>
        <v>38.888888888888893</v>
      </c>
      <c r="V118" s="12">
        <v>0</v>
      </c>
      <c r="W118" s="12">
        <v>1</v>
      </c>
      <c r="X118" s="12">
        <v>1</v>
      </c>
      <c r="Y118" s="12">
        <v>1</v>
      </c>
      <c r="Z118" s="12">
        <v>1</v>
      </c>
      <c r="AA118" s="12">
        <v>1</v>
      </c>
      <c r="AB118" s="12">
        <v>1</v>
      </c>
      <c r="AC118" s="12">
        <v>1</v>
      </c>
      <c r="AD118" s="15">
        <f t="shared" si="2"/>
        <v>7</v>
      </c>
      <c r="AE118" s="15">
        <f t="shared" si="3"/>
        <v>87.5</v>
      </c>
      <c r="AF118" s="14">
        <v>3</v>
      </c>
      <c r="AG118" s="14">
        <v>3</v>
      </c>
      <c r="AH118" s="14">
        <v>3</v>
      </c>
      <c r="AI118" s="14">
        <v>3</v>
      </c>
      <c r="AJ118" s="14">
        <v>3</v>
      </c>
      <c r="AK118" s="14">
        <v>3</v>
      </c>
      <c r="AL118" s="14">
        <v>3</v>
      </c>
      <c r="AM118" s="14">
        <v>3</v>
      </c>
      <c r="AN118" s="14">
        <v>3</v>
      </c>
      <c r="AO118" s="17">
        <f t="shared" si="4"/>
        <v>27</v>
      </c>
      <c r="AP118" s="17">
        <f t="shared" si="5"/>
        <v>60</v>
      </c>
      <c r="AQ118" s="16">
        <v>3</v>
      </c>
      <c r="AR118" s="16">
        <v>3</v>
      </c>
      <c r="AS118" s="16">
        <v>3</v>
      </c>
      <c r="AT118" s="16">
        <v>3</v>
      </c>
      <c r="AU118" s="16">
        <v>5</v>
      </c>
      <c r="AV118" s="16">
        <v>5</v>
      </c>
      <c r="AW118" s="16">
        <v>5</v>
      </c>
      <c r="AX118" s="16">
        <v>5</v>
      </c>
      <c r="AY118" s="16">
        <v>5</v>
      </c>
      <c r="AZ118" s="16">
        <v>5</v>
      </c>
      <c r="BA118" s="18">
        <f t="shared" si="6"/>
        <v>42</v>
      </c>
      <c r="BB118" s="18">
        <f t="shared" si="7"/>
        <v>84</v>
      </c>
    </row>
    <row r="119" spans="1:54" ht="22.5" customHeight="1" x14ac:dyDescent="0.2">
      <c r="A119" s="9" t="s">
        <v>74</v>
      </c>
      <c r="B119" s="9" t="s">
        <v>54</v>
      </c>
      <c r="C119" s="9" t="s">
        <v>55</v>
      </c>
      <c r="D119" s="1" t="s">
        <v>84</v>
      </c>
      <c r="E119" s="9" t="s">
        <v>59</v>
      </c>
      <c r="F119" s="9" t="s">
        <v>59</v>
      </c>
      <c r="G119" s="9" t="s">
        <v>86</v>
      </c>
      <c r="H119" s="9" t="s">
        <v>86</v>
      </c>
      <c r="I119" s="9" t="s">
        <v>96</v>
      </c>
      <c r="J119" s="11">
        <v>0</v>
      </c>
      <c r="K119" s="11">
        <v>0</v>
      </c>
      <c r="L119" s="11">
        <v>3</v>
      </c>
      <c r="M119" s="11">
        <v>2</v>
      </c>
      <c r="N119" s="11">
        <v>1.5</v>
      </c>
      <c r="O119" s="11">
        <v>0</v>
      </c>
      <c r="P119" s="11">
        <v>0.5</v>
      </c>
      <c r="Q119" s="11">
        <v>0</v>
      </c>
      <c r="R119" s="11">
        <v>0.5</v>
      </c>
      <c r="S119" s="11">
        <v>0.5</v>
      </c>
      <c r="T119" s="13">
        <f t="shared" si="0"/>
        <v>8</v>
      </c>
      <c r="U119" s="13">
        <f t="shared" si="1"/>
        <v>44.444444444444443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5">
        <f t="shared" si="2"/>
        <v>0</v>
      </c>
      <c r="AE119" s="15">
        <f t="shared" si="3"/>
        <v>0</v>
      </c>
      <c r="AF119" s="14">
        <v>3</v>
      </c>
      <c r="AG119" s="14">
        <v>3</v>
      </c>
      <c r="AH119" s="14">
        <v>3</v>
      </c>
      <c r="AI119" s="14">
        <v>3</v>
      </c>
      <c r="AJ119" s="14">
        <v>3</v>
      </c>
      <c r="AK119" s="14">
        <v>3</v>
      </c>
      <c r="AL119" s="14">
        <v>3</v>
      </c>
      <c r="AM119" s="14">
        <v>3</v>
      </c>
      <c r="AN119" s="14">
        <v>3</v>
      </c>
      <c r="AO119" s="17">
        <f t="shared" si="4"/>
        <v>27</v>
      </c>
      <c r="AP119" s="17">
        <f t="shared" si="5"/>
        <v>60</v>
      </c>
      <c r="AQ119" s="16">
        <v>3</v>
      </c>
      <c r="AR119" s="16">
        <v>3</v>
      </c>
      <c r="AS119" s="16">
        <v>3</v>
      </c>
      <c r="AT119" s="16">
        <v>3</v>
      </c>
      <c r="AU119" s="16">
        <v>5</v>
      </c>
      <c r="AV119" s="16">
        <v>5</v>
      </c>
      <c r="AW119" s="16">
        <v>5</v>
      </c>
      <c r="AX119" s="16">
        <v>5</v>
      </c>
      <c r="AY119" s="16">
        <v>5</v>
      </c>
      <c r="AZ119" s="16">
        <v>5</v>
      </c>
      <c r="BA119" s="18">
        <f t="shared" si="6"/>
        <v>42</v>
      </c>
      <c r="BB119" s="18">
        <f t="shared" si="7"/>
        <v>84</v>
      </c>
    </row>
    <row r="120" spans="1:54" ht="22.5" customHeight="1" x14ac:dyDescent="0.2">
      <c r="A120" s="9" t="s">
        <v>74</v>
      </c>
      <c r="B120" s="9" t="s">
        <v>54</v>
      </c>
      <c r="C120" s="9" t="s">
        <v>69</v>
      </c>
      <c r="D120" s="1" t="s">
        <v>57</v>
      </c>
      <c r="E120" s="9" t="s">
        <v>60</v>
      </c>
      <c r="F120" s="9" t="s">
        <v>71</v>
      </c>
      <c r="G120" s="9" t="s">
        <v>61</v>
      </c>
      <c r="H120" s="9" t="s">
        <v>57</v>
      </c>
      <c r="I120" s="9" t="s">
        <v>72</v>
      </c>
      <c r="J120" s="11">
        <v>1</v>
      </c>
      <c r="K120" s="11">
        <v>1</v>
      </c>
      <c r="L120" s="11">
        <v>2</v>
      </c>
      <c r="M120" s="11">
        <v>2</v>
      </c>
      <c r="N120" s="11">
        <v>1.5</v>
      </c>
      <c r="O120" s="11">
        <v>1</v>
      </c>
      <c r="P120" s="11">
        <v>0.5</v>
      </c>
      <c r="Q120" s="11">
        <v>1</v>
      </c>
      <c r="R120" s="11">
        <v>1.5</v>
      </c>
      <c r="S120" s="11">
        <v>1.5</v>
      </c>
      <c r="T120" s="13">
        <f t="shared" si="0"/>
        <v>13</v>
      </c>
      <c r="U120" s="13">
        <f t="shared" si="1"/>
        <v>72.222222222222214</v>
      </c>
      <c r="V120" s="12">
        <v>1</v>
      </c>
      <c r="W120" s="12">
        <v>1</v>
      </c>
      <c r="X120" s="12">
        <v>1</v>
      </c>
      <c r="Y120" s="12">
        <v>1</v>
      </c>
      <c r="Z120" s="12">
        <v>1</v>
      </c>
      <c r="AA120" s="12">
        <v>1</v>
      </c>
      <c r="AB120" s="12">
        <v>1</v>
      </c>
      <c r="AC120" s="12">
        <v>1</v>
      </c>
      <c r="AD120" s="15">
        <f t="shared" si="2"/>
        <v>8</v>
      </c>
      <c r="AE120" s="15">
        <f t="shared" si="3"/>
        <v>100</v>
      </c>
      <c r="AF120" s="14">
        <v>4</v>
      </c>
      <c r="AG120" s="14">
        <v>4</v>
      </c>
      <c r="AH120" s="14">
        <v>5</v>
      </c>
      <c r="AI120" s="14">
        <v>4</v>
      </c>
      <c r="AJ120" s="14">
        <v>5</v>
      </c>
      <c r="AK120" s="14">
        <v>4</v>
      </c>
      <c r="AL120" s="14">
        <v>4</v>
      </c>
      <c r="AM120" s="14">
        <v>4</v>
      </c>
      <c r="AN120" s="14">
        <v>4</v>
      </c>
      <c r="AO120" s="17">
        <f t="shared" si="4"/>
        <v>38</v>
      </c>
      <c r="AP120" s="17">
        <f t="shared" si="5"/>
        <v>84.444444444444443</v>
      </c>
      <c r="AQ120" s="16">
        <v>4</v>
      </c>
      <c r="AR120" s="16">
        <v>4</v>
      </c>
      <c r="AS120" s="16">
        <v>3</v>
      </c>
      <c r="AT120" s="16">
        <v>2</v>
      </c>
      <c r="AU120" s="16">
        <v>5</v>
      </c>
      <c r="AV120" s="16">
        <v>5</v>
      </c>
      <c r="AW120" s="16">
        <v>4</v>
      </c>
      <c r="AX120" s="16">
        <v>4</v>
      </c>
      <c r="AY120" s="16">
        <v>5</v>
      </c>
      <c r="AZ120" s="16">
        <v>3</v>
      </c>
      <c r="BA120" s="18">
        <f t="shared" si="6"/>
        <v>39</v>
      </c>
      <c r="BB120" s="18">
        <f t="shared" si="7"/>
        <v>78</v>
      </c>
    </row>
    <row r="121" spans="1:54" ht="22.5" customHeight="1" x14ac:dyDescent="0.2">
      <c r="A121" s="9" t="s">
        <v>52</v>
      </c>
      <c r="B121" s="9" t="s">
        <v>54</v>
      </c>
      <c r="C121" s="9" t="s">
        <v>69</v>
      </c>
      <c r="D121" s="1" t="s">
        <v>70</v>
      </c>
      <c r="E121" s="9" t="s">
        <v>60</v>
      </c>
      <c r="F121" s="9" t="s">
        <v>71</v>
      </c>
      <c r="G121" s="9" t="s">
        <v>76</v>
      </c>
      <c r="H121" s="9" t="s">
        <v>86</v>
      </c>
      <c r="I121" s="9" t="s">
        <v>96</v>
      </c>
      <c r="J121" s="11">
        <v>1</v>
      </c>
      <c r="K121" s="11">
        <v>1</v>
      </c>
      <c r="L121" s="11">
        <v>1</v>
      </c>
      <c r="M121" s="11">
        <v>1</v>
      </c>
      <c r="N121" s="11">
        <v>1.5</v>
      </c>
      <c r="O121" s="11">
        <v>1</v>
      </c>
      <c r="P121" s="11">
        <v>1.5</v>
      </c>
      <c r="Q121" s="11">
        <v>1</v>
      </c>
      <c r="R121" s="11">
        <v>1.5</v>
      </c>
      <c r="S121" s="11">
        <v>2</v>
      </c>
      <c r="T121" s="13">
        <f t="shared" si="0"/>
        <v>12.5</v>
      </c>
      <c r="U121" s="13">
        <f t="shared" si="1"/>
        <v>69.444444444444443</v>
      </c>
      <c r="V121" s="12">
        <v>1</v>
      </c>
      <c r="W121" s="12">
        <v>1</v>
      </c>
      <c r="X121" s="12">
        <v>1</v>
      </c>
      <c r="Y121" s="12">
        <v>1</v>
      </c>
      <c r="Z121" s="12">
        <v>1</v>
      </c>
      <c r="AA121" s="12">
        <v>0</v>
      </c>
      <c r="AB121" s="12">
        <v>1</v>
      </c>
      <c r="AC121" s="12">
        <v>1</v>
      </c>
      <c r="AD121" s="15">
        <f t="shared" si="2"/>
        <v>7</v>
      </c>
      <c r="AE121" s="15">
        <f t="shared" si="3"/>
        <v>87.5</v>
      </c>
      <c r="AF121" s="14">
        <v>4</v>
      </c>
      <c r="AG121" s="14">
        <v>5</v>
      </c>
      <c r="AH121" s="14">
        <v>4</v>
      </c>
      <c r="AI121" s="14">
        <v>3</v>
      </c>
      <c r="AJ121" s="14">
        <v>4</v>
      </c>
      <c r="AK121" s="14">
        <v>5</v>
      </c>
      <c r="AL121" s="14">
        <v>4</v>
      </c>
      <c r="AM121" s="14">
        <v>5</v>
      </c>
      <c r="AN121" s="14">
        <v>4</v>
      </c>
      <c r="AO121" s="17">
        <f t="shared" si="4"/>
        <v>38</v>
      </c>
      <c r="AP121" s="17">
        <f t="shared" si="5"/>
        <v>84.444444444444443</v>
      </c>
      <c r="AQ121" s="16">
        <v>4</v>
      </c>
      <c r="AR121" s="16">
        <v>3</v>
      </c>
      <c r="AS121" s="16">
        <v>5</v>
      </c>
      <c r="AT121" s="16">
        <v>4</v>
      </c>
      <c r="AU121" s="16">
        <v>5</v>
      </c>
      <c r="AV121" s="16">
        <v>4</v>
      </c>
      <c r="AW121" s="16">
        <v>4</v>
      </c>
      <c r="AX121" s="16">
        <v>3</v>
      </c>
      <c r="AY121" s="16">
        <v>5</v>
      </c>
      <c r="AZ121" s="16">
        <v>3</v>
      </c>
      <c r="BA121" s="18">
        <f t="shared" si="6"/>
        <v>40</v>
      </c>
      <c r="BB121" s="18">
        <f t="shared" si="7"/>
        <v>80</v>
      </c>
    </row>
    <row r="122" spans="1:54" ht="22.5" customHeight="1" x14ac:dyDescent="0.2">
      <c r="A122" s="9" t="s">
        <v>52</v>
      </c>
      <c r="B122" s="9" t="s">
        <v>68</v>
      </c>
      <c r="C122" s="9" t="s">
        <v>55</v>
      </c>
      <c r="D122" s="1" t="s">
        <v>57</v>
      </c>
      <c r="E122" s="9" t="s">
        <v>71</v>
      </c>
      <c r="F122" s="9" t="s">
        <v>60</v>
      </c>
      <c r="G122" s="9" t="s">
        <v>61</v>
      </c>
      <c r="H122" s="9" t="s">
        <v>57</v>
      </c>
      <c r="I122" s="9" t="s">
        <v>72</v>
      </c>
      <c r="J122" s="11">
        <v>1</v>
      </c>
      <c r="K122" s="11">
        <v>1</v>
      </c>
      <c r="L122" s="11">
        <v>1</v>
      </c>
      <c r="M122" s="11">
        <v>0.5</v>
      </c>
      <c r="N122" s="11">
        <v>1.5</v>
      </c>
      <c r="O122" s="11">
        <v>1</v>
      </c>
      <c r="P122" s="11">
        <v>1.5</v>
      </c>
      <c r="Q122" s="11">
        <v>1</v>
      </c>
      <c r="R122" s="11">
        <v>1.5</v>
      </c>
      <c r="S122" s="11">
        <v>1</v>
      </c>
      <c r="T122" s="13">
        <f t="shared" si="0"/>
        <v>11</v>
      </c>
      <c r="U122" s="13">
        <f t="shared" si="1"/>
        <v>61.111111111111114</v>
      </c>
      <c r="V122" s="12">
        <v>1</v>
      </c>
      <c r="W122" s="12">
        <v>1</v>
      </c>
      <c r="X122" s="12">
        <v>0</v>
      </c>
      <c r="Y122" s="12">
        <v>1</v>
      </c>
      <c r="Z122" s="12">
        <v>1</v>
      </c>
      <c r="AA122" s="12">
        <v>1</v>
      </c>
      <c r="AB122" s="12">
        <v>1</v>
      </c>
      <c r="AC122" s="12">
        <v>1</v>
      </c>
      <c r="AD122" s="15">
        <f t="shared" si="2"/>
        <v>7</v>
      </c>
      <c r="AE122" s="15">
        <f t="shared" si="3"/>
        <v>87.5</v>
      </c>
      <c r="AF122" s="14">
        <v>4</v>
      </c>
      <c r="AG122" s="14">
        <v>5</v>
      </c>
      <c r="AH122" s="14">
        <v>4</v>
      </c>
      <c r="AI122" s="14">
        <v>4</v>
      </c>
      <c r="AJ122" s="14">
        <v>4</v>
      </c>
      <c r="AK122" s="14">
        <v>4</v>
      </c>
      <c r="AL122" s="14">
        <v>5</v>
      </c>
      <c r="AM122" s="14">
        <v>4</v>
      </c>
      <c r="AN122" s="14">
        <v>4</v>
      </c>
      <c r="AO122" s="17">
        <f t="shared" si="4"/>
        <v>38</v>
      </c>
      <c r="AP122" s="17">
        <f t="shared" si="5"/>
        <v>84.444444444444443</v>
      </c>
      <c r="AQ122" s="16">
        <v>4</v>
      </c>
      <c r="AR122" s="16">
        <v>3</v>
      </c>
      <c r="AS122" s="16">
        <v>2</v>
      </c>
      <c r="AT122" s="16">
        <v>5</v>
      </c>
      <c r="AU122" s="16">
        <v>5</v>
      </c>
      <c r="AV122" s="16">
        <v>4</v>
      </c>
      <c r="AW122" s="16">
        <v>3</v>
      </c>
      <c r="AX122" s="16">
        <v>4</v>
      </c>
      <c r="AY122" s="16">
        <v>5</v>
      </c>
      <c r="AZ122" s="16">
        <v>4</v>
      </c>
      <c r="BA122" s="18">
        <f t="shared" si="6"/>
        <v>39</v>
      </c>
      <c r="BB122" s="18">
        <f t="shared" si="7"/>
        <v>78</v>
      </c>
    </row>
    <row r="123" spans="1:54" ht="22.5" customHeight="1" x14ac:dyDescent="0.2">
      <c r="A123" s="9" t="s">
        <v>74</v>
      </c>
      <c r="B123" s="9" t="s">
        <v>54</v>
      </c>
      <c r="C123" s="9" t="s">
        <v>69</v>
      </c>
      <c r="D123" s="1" t="s">
        <v>57</v>
      </c>
      <c r="E123" s="9" t="s">
        <v>59</v>
      </c>
      <c r="F123" s="9" t="s">
        <v>59</v>
      </c>
      <c r="G123" s="9" t="s">
        <v>76</v>
      </c>
      <c r="H123" s="9" t="s">
        <v>99</v>
      </c>
      <c r="I123" s="9" t="s">
        <v>72</v>
      </c>
      <c r="J123" s="11">
        <v>1</v>
      </c>
      <c r="K123" s="11">
        <v>1</v>
      </c>
      <c r="L123" s="11">
        <v>2</v>
      </c>
      <c r="M123" s="11">
        <v>2</v>
      </c>
      <c r="N123" s="11">
        <v>1</v>
      </c>
      <c r="O123" s="11">
        <v>1</v>
      </c>
      <c r="P123" s="11">
        <v>1.5</v>
      </c>
      <c r="Q123" s="11">
        <v>1</v>
      </c>
      <c r="R123" s="11">
        <v>1</v>
      </c>
      <c r="S123" s="11">
        <v>1.5</v>
      </c>
      <c r="T123" s="13">
        <f t="shared" si="0"/>
        <v>13</v>
      </c>
      <c r="U123" s="13">
        <f t="shared" si="1"/>
        <v>72.222222222222214</v>
      </c>
      <c r="V123" s="12">
        <v>1</v>
      </c>
      <c r="W123" s="12">
        <v>1</v>
      </c>
      <c r="X123" s="12">
        <v>1</v>
      </c>
      <c r="Y123" s="12">
        <v>1</v>
      </c>
      <c r="Z123" s="12">
        <v>1</v>
      </c>
      <c r="AA123" s="12">
        <v>1</v>
      </c>
      <c r="AB123" s="12">
        <v>1</v>
      </c>
      <c r="AC123" s="12">
        <v>1</v>
      </c>
      <c r="AD123" s="15">
        <f t="shared" si="2"/>
        <v>8</v>
      </c>
      <c r="AE123" s="15">
        <f t="shared" si="3"/>
        <v>100</v>
      </c>
      <c r="AF123" s="14">
        <v>5</v>
      </c>
      <c r="AG123" s="14">
        <v>5</v>
      </c>
      <c r="AH123" s="14">
        <v>5</v>
      </c>
      <c r="AI123" s="14">
        <v>5</v>
      </c>
      <c r="AJ123" s="14">
        <v>4</v>
      </c>
      <c r="AK123" s="14">
        <v>5</v>
      </c>
      <c r="AL123" s="14">
        <v>5</v>
      </c>
      <c r="AM123" s="14">
        <v>5</v>
      </c>
      <c r="AN123" s="14">
        <v>4</v>
      </c>
      <c r="AO123" s="17">
        <f t="shared" si="4"/>
        <v>43</v>
      </c>
      <c r="AP123" s="17">
        <f t="shared" si="5"/>
        <v>95.555555555555557</v>
      </c>
      <c r="AQ123" s="16">
        <v>5</v>
      </c>
      <c r="AR123" s="16">
        <v>5</v>
      </c>
      <c r="AS123" s="16">
        <v>4</v>
      </c>
      <c r="AT123" s="16">
        <v>5</v>
      </c>
      <c r="AU123" s="16">
        <v>5</v>
      </c>
      <c r="AV123" s="16">
        <v>5</v>
      </c>
      <c r="AW123" s="16">
        <v>5</v>
      </c>
      <c r="AX123" s="16">
        <v>5</v>
      </c>
      <c r="AY123" s="16">
        <v>5</v>
      </c>
      <c r="AZ123" s="16">
        <v>4</v>
      </c>
      <c r="BA123" s="18">
        <f t="shared" si="6"/>
        <v>48</v>
      </c>
      <c r="BB123" s="18">
        <f t="shared" si="7"/>
        <v>96</v>
      </c>
    </row>
    <row r="124" spans="1:54" ht="22.5" customHeight="1" x14ac:dyDescent="0.2">
      <c r="A124" s="9" t="s">
        <v>52</v>
      </c>
      <c r="B124" s="9" t="s">
        <v>54</v>
      </c>
      <c r="C124" s="9" t="s">
        <v>55</v>
      </c>
      <c r="D124" s="1" t="s">
        <v>57</v>
      </c>
      <c r="E124" s="9" t="s">
        <v>85</v>
      </c>
      <c r="F124" s="9" t="s">
        <v>85</v>
      </c>
      <c r="G124" s="9" t="s">
        <v>95</v>
      </c>
      <c r="H124" s="9" t="s">
        <v>57</v>
      </c>
      <c r="I124" s="9" t="s">
        <v>62</v>
      </c>
      <c r="J124" s="11">
        <v>1</v>
      </c>
      <c r="K124" s="11">
        <v>1</v>
      </c>
      <c r="L124" s="11">
        <v>1</v>
      </c>
      <c r="M124" s="11">
        <v>0.5</v>
      </c>
      <c r="N124" s="11">
        <v>1.5</v>
      </c>
      <c r="O124" s="11">
        <v>1</v>
      </c>
      <c r="P124" s="11">
        <v>2</v>
      </c>
      <c r="Q124" s="11">
        <v>1</v>
      </c>
      <c r="R124" s="11">
        <v>2</v>
      </c>
      <c r="S124" s="11">
        <v>1.5</v>
      </c>
      <c r="T124" s="13">
        <f t="shared" si="0"/>
        <v>12.5</v>
      </c>
      <c r="U124" s="13">
        <f t="shared" si="1"/>
        <v>69.444444444444443</v>
      </c>
      <c r="V124" s="12">
        <v>1</v>
      </c>
      <c r="W124" s="12">
        <v>1</v>
      </c>
      <c r="X124" s="12">
        <v>1</v>
      </c>
      <c r="Y124" s="12">
        <v>1</v>
      </c>
      <c r="Z124" s="12">
        <v>1</v>
      </c>
      <c r="AA124" s="12">
        <v>1</v>
      </c>
      <c r="AB124" s="12">
        <v>1</v>
      </c>
      <c r="AC124" s="12">
        <v>1</v>
      </c>
      <c r="AD124" s="15">
        <f t="shared" si="2"/>
        <v>8</v>
      </c>
      <c r="AE124" s="15">
        <f t="shared" si="3"/>
        <v>100</v>
      </c>
      <c r="AF124" s="14">
        <v>4</v>
      </c>
      <c r="AG124" s="14">
        <v>4</v>
      </c>
      <c r="AH124" s="14">
        <v>3</v>
      </c>
      <c r="AI124" s="14">
        <v>4</v>
      </c>
      <c r="AJ124" s="14">
        <v>4</v>
      </c>
      <c r="AK124" s="14">
        <v>4</v>
      </c>
      <c r="AL124" s="14">
        <v>4</v>
      </c>
      <c r="AM124" s="14">
        <v>4</v>
      </c>
      <c r="AN124" s="14">
        <v>4</v>
      </c>
      <c r="AO124" s="17">
        <f t="shared" si="4"/>
        <v>35</v>
      </c>
      <c r="AP124" s="17">
        <f t="shared" si="5"/>
        <v>77.777777777777786</v>
      </c>
      <c r="AQ124" s="16">
        <v>5</v>
      </c>
      <c r="AR124" s="16">
        <v>5</v>
      </c>
      <c r="AS124" s="16">
        <v>5</v>
      </c>
      <c r="AT124" s="16">
        <v>5</v>
      </c>
      <c r="AU124" s="16">
        <v>5</v>
      </c>
      <c r="AV124" s="16">
        <v>5</v>
      </c>
      <c r="AW124" s="16">
        <v>4</v>
      </c>
      <c r="AX124" s="16">
        <v>3</v>
      </c>
      <c r="AY124" s="16">
        <v>5</v>
      </c>
      <c r="AZ124" s="16">
        <v>4</v>
      </c>
      <c r="BA124" s="18">
        <f t="shared" si="6"/>
        <v>46</v>
      </c>
      <c r="BB124" s="18">
        <f t="shared" si="7"/>
        <v>92</v>
      </c>
    </row>
    <row r="125" spans="1:54" ht="22.5" customHeight="1" x14ac:dyDescent="0.2">
      <c r="A125" s="9" t="s">
        <v>74</v>
      </c>
      <c r="B125" s="9" t="s">
        <v>68</v>
      </c>
      <c r="C125" s="9" t="s">
        <v>55</v>
      </c>
      <c r="D125" s="1" t="s">
        <v>75</v>
      </c>
      <c r="E125" s="9" t="s">
        <v>85</v>
      </c>
      <c r="F125" s="9" t="s">
        <v>71</v>
      </c>
      <c r="G125" s="9" t="s">
        <v>95</v>
      </c>
      <c r="H125" s="9" t="s">
        <v>57</v>
      </c>
      <c r="I125" s="9" t="s">
        <v>72</v>
      </c>
      <c r="J125" s="11">
        <v>1</v>
      </c>
      <c r="K125" s="11">
        <v>0</v>
      </c>
      <c r="L125" s="11">
        <v>1</v>
      </c>
      <c r="M125" s="11">
        <v>1</v>
      </c>
      <c r="N125" s="11">
        <v>1</v>
      </c>
      <c r="O125" s="11">
        <v>1</v>
      </c>
      <c r="P125" s="11">
        <v>1.5</v>
      </c>
      <c r="Q125" s="11">
        <v>1</v>
      </c>
      <c r="R125" s="11">
        <v>1.5</v>
      </c>
      <c r="S125" s="11">
        <v>1.5</v>
      </c>
      <c r="T125" s="13">
        <f t="shared" si="0"/>
        <v>10.5</v>
      </c>
      <c r="U125" s="13">
        <f t="shared" si="1"/>
        <v>58.333333333333336</v>
      </c>
      <c r="V125" s="12">
        <v>1</v>
      </c>
      <c r="W125" s="12">
        <v>1</v>
      </c>
      <c r="X125" s="12">
        <v>1</v>
      </c>
      <c r="Y125" s="12">
        <v>1</v>
      </c>
      <c r="Z125" s="12">
        <v>1</v>
      </c>
      <c r="AA125" s="12">
        <v>0</v>
      </c>
      <c r="AB125" s="12">
        <v>1</v>
      </c>
      <c r="AC125" s="12">
        <v>1</v>
      </c>
      <c r="AD125" s="15">
        <f t="shared" si="2"/>
        <v>7</v>
      </c>
      <c r="AE125" s="15">
        <f t="shared" si="3"/>
        <v>87.5</v>
      </c>
      <c r="AF125" s="14">
        <v>5</v>
      </c>
      <c r="AG125" s="14">
        <v>4</v>
      </c>
      <c r="AH125" s="14">
        <v>4</v>
      </c>
      <c r="AI125" s="14">
        <v>5</v>
      </c>
      <c r="AJ125" s="14">
        <v>4</v>
      </c>
      <c r="AK125" s="14">
        <v>3</v>
      </c>
      <c r="AL125" s="14">
        <v>5</v>
      </c>
      <c r="AM125" s="14">
        <v>4</v>
      </c>
      <c r="AN125" s="14">
        <v>4</v>
      </c>
      <c r="AO125" s="17">
        <f t="shared" si="4"/>
        <v>38</v>
      </c>
      <c r="AP125" s="17">
        <f t="shared" si="5"/>
        <v>84.444444444444443</v>
      </c>
      <c r="AQ125" s="16">
        <v>5</v>
      </c>
      <c r="AR125" s="16">
        <v>4</v>
      </c>
      <c r="AS125" s="16">
        <v>3</v>
      </c>
      <c r="AT125" s="16">
        <v>4</v>
      </c>
      <c r="AU125" s="16">
        <v>5</v>
      </c>
      <c r="AV125" s="16">
        <v>3</v>
      </c>
      <c r="AW125" s="16">
        <v>3</v>
      </c>
      <c r="AX125" s="16">
        <v>4</v>
      </c>
      <c r="AY125" s="16">
        <v>5</v>
      </c>
      <c r="AZ125" s="16">
        <v>4</v>
      </c>
      <c r="BA125" s="18">
        <f t="shared" si="6"/>
        <v>40</v>
      </c>
      <c r="BB125" s="18">
        <f t="shared" si="7"/>
        <v>80</v>
      </c>
    </row>
    <row r="126" spans="1:54" ht="22.5" customHeight="1" x14ac:dyDescent="0.2">
      <c r="A126" s="9" t="s">
        <v>74</v>
      </c>
      <c r="B126" s="9" t="s">
        <v>54</v>
      </c>
      <c r="C126" s="9" t="s">
        <v>69</v>
      </c>
      <c r="D126" s="1" t="s">
        <v>57</v>
      </c>
      <c r="E126" s="9" t="s">
        <v>60</v>
      </c>
      <c r="F126" s="9" t="s">
        <v>71</v>
      </c>
      <c r="G126" s="9" t="s">
        <v>76</v>
      </c>
      <c r="H126" s="9" t="s">
        <v>86</v>
      </c>
      <c r="I126" s="9" t="s">
        <v>96</v>
      </c>
      <c r="J126" s="11">
        <v>1</v>
      </c>
      <c r="K126" s="11">
        <v>1</v>
      </c>
      <c r="L126" s="11">
        <v>1</v>
      </c>
      <c r="M126" s="11">
        <v>2</v>
      </c>
      <c r="N126" s="11">
        <v>1.5</v>
      </c>
      <c r="O126" s="11">
        <v>1</v>
      </c>
      <c r="P126" s="11">
        <v>1.5</v>
      </c>
      <c r="Q126" s="11">
        <v>1</v>
      </c>
      <c r="R126" s="11">
        <v>1.5</v>
      </c>
      <c r="S126" s="11">
        <v>0.5</v>
      </c>
      <c r="T126" s="13">
        <f t="shared" si="0"/>
        <v>12</v>
      </c>
      <c r="U126" s="13">
        <f t="shared" si="1"/>
        <v>66.666666666666657</v>
      </c>
      <c r="V126" s="12">
        <v>1</v>
      </c>
      <c r="W126" s="12">
        <v>1</v>
      </c>
      <c r="X126" s="12">
        <v>1</v>
      </c>
      <c r="Y126" s="12">
        <v>0</v>
      </c>
      <c r="Z126" s="12">
        <v>1</v>
      </c>
      <c r="AA126" s="12">
        <v>1</v>
      </c>
      <c r="AB126" s="12">
        <v>1</v>
      </c>
      <c r="AC126" s="12">
        <v>1</v>
      </c>
      <c r="AD126" s="15">
        <f t="shared" si="2"/>
        <v>7</v>
      </c>
      <c r="AE126" s="15">
        <f t="shared" si="3"/>
        <v>87.5</v>
      </c>
      <c r="AF126" s="14">
        <v>4</v>
      </c>
      <c r="AG126" s="14">
        <v>5</v>
      </c>
      <c r="AH126" s="14">
        <v>4</v>
      </c>
      <c r="AI126" s="14">
        <v>4</v>
      </c>
      <c r="AJ126" s="14">
        <v>5</v>
      </c>
      <c r="AK126" s="14">
        <v>4</v>
      </c>
      <c r="AL126" s="14">
        <v>4</v>
      </c>
      <c r="AM126" s="14">
        <v>5</v>
      </c>
      <c r="AN126" s="14">
        <v>4</v>
      </c>
      <c r="AO126" s="17">
        <f t="shared" si="4"/>
        <v>39</v>
      </c>
      <c r="AP126" s="17">
        <f t="shared" si="5"/>
        <v>86.666666666666671</v>
      </c>
      <c r="AQ126" s="16">
        <v>3</v>
      </c>
      <c r="AR126" s="16">
        <v>4</v>
      </c>
      <c r="AS126" s="16">
        <v>5</v>
      </c>
      <c r="AT126" s="16">
        <v>4</v>
      </c>
      <c r="AU126" s="16">
        <v>5</v>
      </c>
      <c r="AV126" s="16">
        <v>4</v>
      </c>
      <c r="AW126" s="16">
        <v>4</v>
      </c>
      <c r="AX126" s="16">
        <v>3</v>
      </c>
      <c r="AY126" s="16">
        <v>5</v>
      </c>
      <c r="AZ126" s="16">
        <v>4</v>
      </c>
      <c r="BA126" s="18">
        <f t="shared" si="6"/>
        <v>41</v>
      </c>
      <c r="BB126" s="18">
        <f t="shared" si="7"/>
        <v>82</v>
      </c>
    </row>
    <row r="127" spans="1:54" ht="22.5" customHeight="1" x14ac:dyDescent="0.2">
      <c r="A127" s="9" t="s">
        <v>74</v>
      </c>
      <c r="B127" s="9" t="s">
        <v>54</v>
      </c>
      <c r="C127" s="9" t="s">
        <v>69</v>
      </c>
      <c r="D127" s="1" t="s">
        <v>57</v>
      </c>
      <c r="E127" s="9" t="s">
        <v>60</v>
      </c>
      <c r="F127" s="9" t="s">
        <v>71</v>
      </c>
      <c r="G127" s="9" t="s">
        <v>95</v>
      </c>
      <c r="H127" s="9" t="s">
        <v>99</v>
      </c>
      <c r="I127" s="9" t="s">
        <v>72</v>
      </c>
      <c r="J127" s="11">
        <v>0</v>
      </c>
      <c r="K127" s="11">
        <v>0</v>
      </c>
      <c r="L127" s="11">
        <v>1</v>
      </c>
      <c r="M127" s="11">
        <v>1</v>
      </c>
      <c r="N127" s="11">
        <v>0.5</v>
      </c>
      <c r="O127" s="11">
        <v>0</v>
      </c>
      <c r="P127" s="11">
        <v>0.5</v>
      </c>
      <c r="Q127" s="11">
        <v>0</v>
      </c>
      <c r="R127" s="11">
        <v>0</v>
      </c>
      <c r="S127" s="11">
        <v>2</v>
      </c>
      <c r="T127" s="13">
        <f t="shared" si="0"/>
        <v>5</v>
      </c>
      <c r="U127" s="13">
        <f t="shared" si="1"/>
        <v>27.777777777777779</v>
      </c>
      <c r="V127" s="12">
        <v>1</v>
      </c>
      <c r="W127" s="12">
        <v>1</v>
      </c>
      <c r="X127" s="12">
        <v>0</v>
      </c>
      <c r="Y127" s="12">
        <v>0</v>
      </c>
      <c r="Z127" s="12">
        <v>0</v>
      </c>
      <c r="AA127" s="12">
        <v>1</v>
      </c>
      <c r="AB127" s="12">
        <v>0</v>
      </c>
      <c r="AC127" s="12">
        <v>1</v>
      </c>
      <c r="AD127" s="15">
        <f t="shared" si="2"/>
        <v>4</v>
      </c>
      <c r="AE127" s="15">
        <f t="shared" si="3"/>
        <v>50</v>
      </c>
      <c r="AF127" s="14">
        <v>4</v>
      </c>
      <c r="AG127" s="14">
        <v>4</v>
      </c>
      <c r="AH127" s="14">
        <v>3</v>
      </c>
      <c r="AI127" s="14">
        <v>3</v>
      </c>
      <c r="AJ127" s="14">
        <v>3</v>
      </c>
      <c r="AK127" s="14">
        <v>3</v>
      </c>
      <c r="AL127" s="14">
        <v>4</v>
      </c>
      <c r="AM127" s="14">
        <v>2</v>
      </c>
      <c r="AN127" s="14">
        <v>2</v>
      </c>
      <c r="AO127" s="17">
        <f t="shared" si="4"/>
        <v>28</v>
      </c>
      <c r="AP127" s="17">
        <f t="shared" si="5"/>
        <v>62.222222222222221</v>
      </c>
      <c r="AQ127" s="16">
        <v>1</v>
      </c>
      <c r="AR127" s="16">
        <v>4</v>
      </c>
      <c r="AS127" s="16">
        <v>3</v>
      </c>
      <c r="AT127" s="16">
        <v>2</v>
      </c>
      <c r="AU127" s="16">
        <v>5</v>
      </c>
      <c r="AV127" s="16">
        <v>1</v>
      </c>
      <c r="AW127" s="16">
        <v>2</v>
      </c>
      <c r="AX127" s="16">
        <v>2</v>
      </c>
      <c r="AY127" s="16">
        <v>1</v>
      </c>
      <c r="AZ127" s="16">
        <v>4</v>
      </c>
      <c r="BA127" s="18">
        <f t="shared" si="6"/>
        <v>25</v>
      </c>
      <c r="BB127" s="18">
        <f t="shared" si="7"/>
        <v>50</v>
      </c>
    </row>
    <row r="128" spans="1:54" ht="22.5" customHeight="1" x14ac:dyDescent="0.2">
      <c r="A128" s="9" t="s">
        <v>67</v>
      </c>
      <c r="B128" s="9" t="s">
        <v>54</v>
      </c>
      <c r="C128" s="9" t="s">
        <v>55</v>
      </c>
      <c r="D128" s="1" t="s">
        <v>57</v>
      </c>
      <c r="E128" s="9" t="s">
        <v>59</v>
      </c>
      <c r="F128" s="9" t="s">
        <v>60</v>
      </c>
      <c r="G128" s="9" t="s">
        <v>95</v>
      </c>
      <c r="H128" s="9" t="s">
        <v>57</v>
      </c>
      <c r="I128" s="9" t="s">
        <v>62</v>
      </c>
      <c r="J128" s="11">
        <v>1</v>
      </c>
      <c r="K128" s="11">
        <v>0</v>
      </c>
      <c r="L128" s="11">
        <v>0</v>
      </c>
      <c r="M128" s="11">
        <v>1</v>
      </c>
      <c r="N128" s="11">
        <v>1</v>
      </c>
      <c r="O128" s="11">
        <v>1</v>
      </c>
      <c r="P128" s="11">
        <v>1.5</v>
      </c>
      <c r="Q128" s="11">
        <v>1</v>
      </c>
      <c r="R128" s="11">
        <v>1.5</v>
      </c>
      <c r="S128" s="11">
        <v>1.5</v>
      </c>
      <c r="T128" s="13">
        <f t="shared" si="0"/>
        <v>9.5</v>
      </c>
      <c r="U128" s="13">
        <f t="shared" si="1"/>
        <v>52.777777777777779</v>
      </c>
      <c r="V128" s="12">
        <v>1</v>
      </c>
      <c r="W128" s="12">
        <v>1</v>
      </c>
      <c r="X128" s="12">
        <v>1</v>
      </c>
      <c r="Y128" s="12">
        <v>1</v>
      </c>
      <c r="Z128" s="12">
        <v>1</v>
      </c>
      <c r="AA128" s="12">
        <v>0</v>
      </c>
      <c r="AB128" s="12">
        <v>1</v>
      </c>
      <c r="AC128" s="12">
        <v>1</v>
      </c>
      <c r="AD128" s="15">
        <f t="shared" si="2"/>
        <v>7</v>
      </c>
      <c r="AE128" s="15">
        <f t="shared" si="3"/>
        <v>87.5</v>
      </c>
      <c r="AF128" s="14">
        <v>5</v>
      </c>
      <c r="AG128" s="14">
        <v>4</v>
      </c>
      <c r="AH128" s="14">
        <v>4</v>
      </c>
      <c r="AI128" s="14">
        <v>4</v>
      </c>
      <c r="AJ128" s="14">
        <v>5</v>
      </c>
      <c r="AK128" s="14">
        <v>4</v>
      </c>
      <c r="AL128" s="14">
        <v>4</v>
      </c>
      <c r="AM128" s="14">
        <v>5</v>
      </c>
      <c r="AN128" s="14">
        <v>4</v>
      </c>
      <c r="AO128" s="17">
        <f t="shared" si="4"/>
        <v>39</v>
      </c>
      <c r="AP128" s="17">
        <f t="shared" si="5"/>
        <v>86.666666666666671</v>
      </c>
      <c r="AQ128" s="16">
        <v>5</v>
      </c>
      <c r="AR128" s="16">
        <v>3</v>
      </c>
      <c r="AS128" s="16">
        <v>4</v>
      </c>
      <c r="AT128" s="16">
        <v>5</v>
      </c>
      <c r="AU128" s="16">
        <v>5</v>
      </c>
      <c r="AV128" s="16">
        <v>5</v>
      </c>
      <c r="AW128" s="16">
        <v>4</v>
      </c>
      <c r="AX128" s="16">
        <v>3</v>
      </c>
      <c r="AY128" s="16">
        <v>5</v>
      </c>
      <c r="AZ128" s="16">
        <v>2</v>
      </c>
      <c r="BA128" s="18">
        <f t="shared" si="6"/>
        <v>41</v>
      </c>
      <c r="BB128" s="18">
        <f t="shared" si="7"/>
        <v>82</v>
      </c>
    </row>
    <row r="129" spans="1:54" ht="22.5" customHeight="1" x14ac:dyDescent="0.2">
      <c r="A129" s="9" t="s">
        <v>74</v>
      </c>
      <c r="B129" s="9" t="s">
        <v>54</v>
      </c>
      <c r="C129" s="9" t="s">
        <v>55</v>
      </c>
      <c r="D129" s="1" t="s">
        <v>70</v>
      </c>
      <c r="E129" s="9" t="s">
        <v>71</v>
      </c>
      <c r="F129" s="9" t="s">
        <v>71</v>
      </c>
      <c r="G129" s="9" t="s">
        <v>95</v>
      </c>
      <c r="H129" s="9" t="s">
        <v>97</v>
      </c>
      <c r="I129" s="9" t="s">
        <v>72</v>
      </c>
      <c r="J129" s="11">
        <v>1</v>
      </c>
      <c r="K129" s="11">
        <v>1</v>
      </c>
      <c r="L129" s="11">
        <v>0</v>
      </c>
      <c r="M129" s="11">
        <v>1</v>
      </c>
      <c r="N129" s="11">
        <v>0.5</v>
      </c>
      <c r="O129" s="11">
        <v>1</v>
      </c>
      <c r="P129" s="11">
        <v>2</v>
      </c>
      <c r="Q129" s="11">
        <v>1</v>
      </c>
      <c r="R129" s="11">
        <v>2</v>
      </c>
      <c r="S129" s="11">
        <v>2</v>
      </c>
      <c r="T129" s="13">
        <f t="shared" si="0"/>
        <v>11.5</v>
      </c>
      <c r="U129" s="13">
        <f t="shared" si="1"/>
        <v>63.888888888888886</v>
      </c>
      <c r="V129" s="12">
        <v>1</v>
      </c>
      <c r="W129" s="12">
        <v>1</v>
      </c>
      <c r="X129" s="12">
        <v>1</v>
      </c>
      <c r="Y129" s="12">
        <v>1</v>
      </c>
      <c r="Z129" s="12">
        <v>1</v>
      </c>
      <c r="AA129" s="12">
        <v>1</v>
      </c>
      <c r="AB129" s="12">
        <v>1</v>
      </c>
      <c r="AC129" s="12">
        <v>1</v>
      </c>
      <c r="AD129" s="15">
        <f t="shared" si="2"/>
        <v>8</v>
      </c>
      <c r="AE129" s="15">
        <f t="shared" si="3"/>
        <v>100</v>
      </c>
      <c r="AF129" s="14">
        <v>2</v>
      </c>
      <c r="AG129" s="14">
        <v>2</v>
      </c>
      <c r="AH129" s="14">
        <v>2</v>
      </c>
      <c r="AI129" s="14">
        <v>2</v>
      </c>
      <c r="AJ129" s="14">
        <v>2</v>
      </c>
      <c r="AK129" s="14">
        <v>2</v>
      </c>
      <c r="AL129" s="14">
        <v>2</v>
      </c>
      <c r="AM129" s="14">
        <v>2</v>
      </c>
      <c r="AN129" s="14">
        <v>2</v>
      </c>
      <c r="AO129" s="17">
        <f t="shared" si="4"/>
        <v>18</v>
      </c>
      <c r="AP129" s="17">
        <f t="shared" si="5"/>
        <v>40</v>
      </c>
      <c r="AQ129" s="16">
        <v>2</v>
      </c>
      <c r="AR129" s="16">
        <v>2</v>
      </c>
      <c r="AS129" s="16">
        <v>2</v>
      </c>
      <c r="AT129" s="16">
        <v>2</v>
      </c>
      <c r="AU129" s="16">
        <v>1</v>
      </c>
      <c r="AV129" s="16">
        <v>2</v>
      </c>
      <c r="AW129" s="16">
        <v>2</v>
      </c>
      <c r="AX129" s="16">
        <v>2</v>
      </c>
      <c r="AY129" s="16">
        <v>1</v>
      </c>
      <c r="AZ129" s="16">
        <v>4</v>
      </c>
      <c r="BA129" s="18">
        <f t="shared" si="6"/>
        <v>20</v>
      </c>
      <c r="BB129" s="18">
        <f t="shared" si="7"/>
        <v>40</v>
      </c>
    </row>
    <row r="130" spans="1:54" ht="22.5" customHeight="1" x14ac:dyDescent="0.2">
      <c r="A130" s="9" t="s">
        <v>52</v>
      </c>
      <c r="B130" s="9" t="s">
        <v>54</v>
      </c>
      <c r="C130" s="9" t="s">
        <v>55</v>
      </c>
      <c r="D130" s="1" t="s">
        <v>75</v>
      </c>
      <c r="E130" s="9" t="s">
        <v>85</v>
      </c>
      <c r="F130" s="9" t="s">
        <v>60</v>
      </c>
      <c r="G130" s="9" t="s">
        <v>76</v>
      </c>
      <c r="H130" s="9" t="s">
        <v>99</v>
      </c>
      <c r="I130" s="9" t="s">
        <v>72</v>
      </c>
      <c r="J130" s="11">
        <v>0</v>
      </c>
      <c r="K130" s="11">
        <v>0</v>
      </c>
      <c r="L130" s="11">
        <v>3</v>
      </c>
      <c r="M130" s="11">
        <v>0.5</v>
      </c>
      <c r="N130" s="11">
        <v>1.5</v>
      </c>
      <c r="O130" s="11">
        <v>1</v>
      </c>
      <c r="P130" s="11">
        <v>1</v>
      </c>
      <c r="Q130" s="11">
        <v>0</v>
      </c>
      <c r="R130" s="11">
        <v>0.5</v>
      </c>
      <c r="S130" s="11">
        <v>0.5</v>
      </c>
      <c r="T130" s="13">
        <f t="shared" si="0"/>
        <v>8</v>
      </c>
      <c r="U130" s="13">
        <f t="shared" si="1"/>
        <v>44.444444444444443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5">
        <f t="shared" si="2"/>
        <v>0</v>
      </c>
      <c r="AE130" s="15">
        <f t="shared" si="3"/>
        <v>0</v>
      </c>
      <c r="AF130" s="14">
        <v>1</v>
      </c>
      <c r="AG130" s="14">
        <v>1</v>
      </c>
      <c r="AH130" s="14">
        <v>1</v>
      </c>
      <c r="AI130" s="14">
        <v>1</v>
      </c>
      <c r="AJ130" s="14">
        <v>1</v>
      </c>
      <c r="AK130" s="14">
        <v>1</v>
      </c>
      <c r="AL130" s="14">
        <v>1</v>
      </c>
      <c r="AM130" s="14">
        <v>1</v>
      </c>
      <c r="AN130" s="14">
        <v>1</v>
      </c>
      <c r="AO130" s="17">
        <f t="shared" si="4"/>
        <v>9</v>
      </c>
      <c r="AP130" s="17">
        <f t="shared" si="5"/>
        <v>20</v>
      </c>
      <c r="AQ130" s="16">
        <v>1</v>
      </c>
      <c r="AR130" s="16">
        <v>1</v>
      </c>
      <c r="AS130" s="16">
        <v>1</v>
      </c>
      <c r="AT130" s="16">
        <v>1</v>
      </c>
      <c r="AU130" s="16">
        <v>1</v>
      </c>
      <c r="AV130" s="16">
        <v>1</v>
      </c>
      <c r="AW130" s="16">
        <v>3</v>
      </c>
      <c r="AX130" s="16">
        <v>3</v>
      </c>
      <c r="AY130" s="16">
        <v>5</v>
      </c>
      <c r="AZ130" s="16">
        <v>5</v>
      </c>
      <c r="BA130" s="18">
        <f t="shared" si="6"/>
        <v>22</v>
      </c>
      <c r="BB130" s="18">
        <f t="shared" si="7"/>
        <v>44</v>
      </c>
    </row>
    <row r="131" spans="1:54" ht="22.5" customHeight="1" x14ac:dyDescent="0.2">
      <c r="A131" s="9" t="s">
        <v>74</v>
      </c>
      <c r="B131" s="9" t="s">
        <v>68</v>
      </c>
      <c r="C131" s="9" t="s">
        <v>55</v>
      </c>
      <c r="D131" s="1" t="s">
        <v>57</v>
      </c>
      <c r="E131" s="9" t="s">
        <v>85</v>
      </c>
      <c r="F131" s="9" t="s">
        <v>60</v>
      </c>
      <c r="G131" s="9" t="s">
        <v>86</v>
      </c>
      <c r="H131" s="9" t="s">
        <v>97</v>
      </c>
      <c r="I131" s="9" t="s">
        <v>81</v>
      </c>
      <c r="J131" s="11">
        <v>1</v>
      </c>
      <c r="K131" s="11">
        <v>1</v>
      </c>
      <c r="L131" s="11">
        <v>1</v>
      </c>
      <c r="M131" s="11">
        <v>2</v>
      </c>
      <c r="N131" s="11">
        <v>0.5</v>
      </c>
      <c r="O131" s="11">
        <v>1</v>
      </c>
      <c r="P131" s="11">
        <v>1</v>
      </c>
      <c r="Q131" s="11">
        <v>1</v>
      </c>
      <c r="R131" s="11">
        <v>1.5</v>
      </c>
      <c r="S131" s="11">
        <v>1</v>
      </c>
      <c r="T131" s="13">
        <f t="shared" si="0"/>
        <v>11</v>
      </c>
      <c r="U131" s="13">
        <f t="shared" si="1"/>
        <v>61.111111111111114</v>
      </c>
      <c r="V131" s="12">
        <v>1</v>
      </c>
      <c r="W131" s="12">
        <v>1</v>
      </c>
      <c r="X131" s="12">
        <v>1</v>
      </c>
      <c r="Y131" s="12">
        <v>1</v>
      </c>
      <c r="Z131" s="12">
        <v>0</v>
      </c>
      <c r="AA131" s="12">
        <v>1</v>
      </c>
      <c r="AB131" s="12">
        <v>1</v>
      </c>
      <c r="AC131" s="12">
        <v>1</v>
      </c>
      <c r="AD131" s="15">
        <f t="shared" si="2"/>
        <v>7</v>
      </c>
      <c r="AE131" s="15">
        <f t="shared" si="3"/>
        <v>87.5</v>
      </c>
      <c r="AF131" s="14">
        <v>4</v>
      </c>
      <c r="AG131" s="14">
        <v>5</v>
      </c>
      <c r="AH131" s="14">
        <v>4</v>
      </c>
      <c r="AI131" s="14">
        <v>4</v>
      </c>
      <c r="AJ131" s="14">
        <v>5</v>
      </c>
      <c r="AK131" s="14">
        <v>5</v>
      </c>
      <c r="AL131" s="14">
        <v>4</v>
      </c>
      <c r="AM131" s="14">
        <v>4</v>
      </c>
      <c r="AN131" s="14">
        <v>5</v>
      </c>
      <c r="AO131" s="17">
        <f t="shared" si="4"/>
        <v>40</v>
      </c>
      <c r="AP131" s="17">
        <f t="shared" si="5"/>
        <v>88.888888888888886</v>
      </c>
      <c r="AQ131" s="16">
        <v>4</v>
      </c>
      <c r="AR131" s="16">
        <v>2</v>
      </c>
      <c r="AS131" s="16">
        <v>3</v>
      </c>
      <c r="AT131" s="16">
        <v>5</v>
      </c>
      <c r="AU131" s="16">
        <v>5</v>
      </c>
      <c r="AV131" s="16">
        <v>4</v>
      </c>
      <c r="AW131" s="16">
        <v>2</v>
      </c>
      <c r="AX131" s="16">
        <v>5</v>
      </c>
      <c r="AY131" s="16">
        <v>5</v>
      </c>
      <c r="AZ131" s="16">
        <v>4</v>
      </c>
      <c r="BA131" s="18">
        <f t="shared" si="6"/>
        <v>39</v>
      </c>
      <c r="BB131" s="18">
        <f t="shared" si="7"/>
        <v>78</v>
      </c>
    </row>
    <row r="132" spans="1:54" ht="22.5" customHeight="1" x14ac:dyDescent="0.2">
      <c r="A132" s="9" t="s">
        <v>93</v>
      </c>
      <c r="B132" s="9" t="s">
        <v>68</v>
      </c>
      <c r="C132" s="9" t="s">
        <v>55</v>
      </c>
      <c r="D132" s="1" t="s">
        <v>75</v>
      </c>
      <c r="E132" s="9" t="s">
        <v>92</v>
      </c>
      <c r="F132" s="9" t="s">
        <v>92</v>
      </c>
      <c r="G132" s="9" t="s">
        <v>61</v>
      </c>
      <c r="H132" s="9" t="s">
        <v>57</v>
      </c>
      <c r="I132" s="9" t="s">
        <v>81</v>
      </c>
      <c r="J132" s="11">
        <v>0</v>
      </c>
      <c r="K132" s="11">
        <v>0</v>
      </c>
      <c r="L132" s="11">
        <v>1</v>
      </c>
      <c r="M132" s="11">
        <v>0</v>
      </c>
      <c r="N132" s="11">
        <v>0.5</v>
      </c>
      <c r="O132" s="11">
        <v>0</v>
      </c>
      <c r="P132" s="11">
        <v>0.5</v>
      </c>
      <c r="Q132" s="11">
        <v>1</v>
      </c>
      <c r="R132" s="11">
        <v>1</v>
      </c>
      <c r="S132" s="11">
        <v>0.5</v>
      </c>
      <c r="T132" s="13">
        <f t="shared" si="0"/>
        <v>4.5</v>
      </c>
      <c r="U132" s="13">
        <f t="shared" si="1"/>
        <v>25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5">
        <f t="shared" si="2"/>
        <v>0</v>
      </c>
      <c r="AE132" s="15">
        <f t="shared" si="3"/>
        <v>0</v>
      </c>
      <c r="AF132" s="14">
        <v>3</v>
      </c>
      <c r="AG132" s="14">
        <v>4</v>
      </c>
      <c r="AH132" s="14">
        <v>3</v>
      </c>
      <c r="AI132" s="14">
        <v>3</v>
      </c>
      <c r="AJ132" s="14">
        <v>3</v>
      </c>
      <c r="AK132" s="14">
        <v>3</v>
      </c>
      <c r="AL132" s="14">
        <v>3</v>
      </c>
      <c r="AM132" s="14">
        <v>3</v>
      </c>
      <c r="AN132" s="14">
        <v>3</v>
      </c>
      <c r="AO132" s="17">
        <f t="shared" si="4"/>
        <v>28</v>
      </c>
      <c r="AP132" s="17">
        <f t="shared" si="5"/>
        <v>62.222222222222221</v>
      </c>
      <c r="AQ132" s="16">
        <v>2</v>
      </c>
      <c r="AR132" s="16">
        <v>2</v>
      </c>
      <c r="AS132" s="16">
        <v>1</v>
      </c>
      <c r="AT132" s="16">
        <v>1</v>
      </c>
      <c r="AU132" s="16">
        <v>1</v>
      </c>
      <c r="AV132" s="16">
        <v>2</v>
      </c>
      <c r="AW132" s="16">
        <v>1</v>
      </c>
      <c r="AX132" s="16">
        <v>1</v>
      </c>
      <c r="AY132" s="16">
        <v>1</v>
      </c>
      <c r="AZ132" s="16">
        <v>2</v>
      </c>
      <c r="BA132" s="18">
        <f t="shared" si="6"/>
        <v>14</v>
      </c>
      <c r="BB132" s="18">
        <f t="shared" si="7"/>
        <v>28.000000000000004</v>
      </c>
    </row>
    <row r="133" spans="1:54" ht="22.5" customHeight="1" x14ac:dyDescent="0.2">
      <c r="A133" s="9" t="s">
        <v>93</v>
      </c>
      <c r="B133" s="9" t="s">
        <v>68</v>
      </c>
      <c r="C133" s="9" t="s">
        <v>69</v>
      </c>
      <c r="D133" s="1" t="s">
        <v>75</v>
      </c>
      <c r="E133" s="9" t="s">
        <v>85</v>
      </c>
      <c r="F133" s="9" t="s">
        <v>60</v>
      </c>
      <c r="G133" s="9" t="s">
        <v>61</v>
      </c>
      <c r="H133" s="9" t="s">
        <v>101</v>
      </c>
      <c r="I133" s="9" t="s">
        <v>62</v>
      </c>
      <c r="J133" s="11">
        <v>1</v>
      </c>
      <c r="K133" s="11">
        <v>1</v>
      </c>
      <c r="L133" s="11">
        <v>0</v>
      </c>
      <c r="M133" s="11">
        <v>1</v>
      </c>
      <c r="N133" s="11">
        <v>1</v>
      </c>
      <c r="O133" s="11">
        <v>1</v>
      </c>
      <c r="P133" s="11">
        <v>1.5</v>
      </c>
      <c r="Q133" s="11">
        <v>1</v>
      </c>
      <c r="R133" s="11">
        <v>1</v>
      </c>
      <c r="S133" s="11">
        <v>2</v>
      </c>
      <c r="T133" s="13">
        <f t="shared" si="0"/>
        <v>10.5</v>
      </c>
      <c r="U133" s="13">
        <f t="shared" si="1"/>
        <v>58.333333333333336</v>
      </c>
      <c r="V133" s="12">
        <v>1</v>
      </c>
      <c r="W133" s="12">
        <v>1</v>
      </c>
      <c r="X133" s="12">
        <v>1</v>
      </c>
      <c r="Y133" s="12">
        <v>1</v>
      </c>
      <c r="Z133" s="12">
        <v>1</v>
      </c>
      <c r="AA133" s="12">
        <v>1</v>
      </c>
      <c r="AB133" s="12">
        <v>1</v>
      </c>
      <c r="AC133" s="12">
        <v>0</v>
      </c>
      <c r="AD133" s="15">
        <f t="shared" si="2"/>
        <v>7</v>
      </c>
      <c r="AE133" s="15">
        <f t="shared" si="3"/>
        <v>87.5</v>
      </c>
      <c r="AF133" s="14">
        <v>5</v>
      </c>
      <c r="AG133" s="14">
        <v>4</v>
      </c>
      <c r="AH133" s="14">
        <v>4</v>
      </c>
      <c r="AI133" s="14">
        <v>4</v>
      </c>
      <c r="AJ133" s="14">
        <v>3</v>
      </c>
      <c r="AK133" s="14">
        <v>4</v>
      </c>
      <c r="AL133" s="14">
        <v>3</v>
      </c>
      <c r="AM133" s="14">
        <v>3</v>
      </c>
      <c r="AN133" s="14">
        <v>3</v>
      </c>
      <c r="AO133" s="17">
        <f t="shared" si="4"/>
        <v>33</v>
      </c>
      <c r="AP133" s="17">
        <f t="shared" si="5"/>
        <v>73.333333333333329</v>
      </c>
      <c r="AQ133" s="16">
        <v>5</v>
      </c>
      <c r="AR133" s="16">
        <v>4</v>
      </c>
      <c r="AS133" s="16">
        <v>4</v>
      </c>
      <c r="AT133" s="16">
        <v>5</v>
      </c>
      <c r="AU133" s="16">
        <v>5</v>
      </c>
      <c r="AV133" s="16">
        <v>5</v>
      </c>
      <c r="AW133" s="16">
        <v>4</v>
      </c>
      <c r="AX133" s="16">
        <v>4</v>
      </c>
      <c r="AY133" s="16">
        <v>5</v>
      </c>
      <c r="AZ133" s="16">
        <v>4</v>
      </c>
      <c r="BA133" s="18">
        <f t="shared" si="6"/>
        <v>45</v>
      </c>
      <c r="BB133" s="18">
        <f t="shared" si="7"/>
        <v>90</v>
      </c>
    </row>
    <row r="134" spans="1:54" ht="22.5" customHeight="1" x14ac:dyDescent="0.2">
      <c r="A134" s="9" t="s">
        <v>52</v>
      </c>
      <c r="B134" s="9" t="s">
        <v>68</v>
      </c>
      <c r="C134" s="9" t="s">
        <v>69</v>
      </c>
      <c r="D134" s="1" t="s">
        <v>57</v>
      </c>
      <c r="E134" s="9" t="s">
        <v>85</v>
      </c>
      <c r="F134" s="9" t="s">
        <v>60</v>
      </c>
      <c r="G134" s="9" t="s">
        <v>95</v>
      </c>
      <c r="H134" s="9" t="s">
        <v>97</v>
      </c>
      <c r="I134" s="9" t="s">
        <v>62</v>
      </c>
      <c r="J134" s="11">
        <v>1</v>
      </c>
      <c r="K134" s="11">
        <v>1</v>
      </c>
      <c r="L134" s="11">
        <v>2</v>
      </c>
      <c r="M134" s="11">
        <v>1</v>
      </c>
      <c r="N134" s="11">
        <v>1</v>
      </c>
      <c r="O134" s="11">
        <v>1</v>
      </c>
      <c r="P134" s="11">
        <v>1.5</v>
      </c>
      <c r="Q134" s="11">
        <v>1</v>
      </c>
      <c r="R134" s="11">
        <v>1.5</v>
      </c>
      <c r="S134" s="11">
        <v>1</v>
      </c>
      <c r="T134" s="13">
        <f t="shared" si="0"/>
        <v>12</v>
      </c>
      <c r="U134" s="13">
        <f t="shared" si="1"/>
        <v>66.666666666666657</v>
      </c>
      <c r="V134" s="12">
        <v>1</v>
      </c>
      <c r="W134" s="12">
        <v>1</v>
      </c>
      <c r="X134" s="12">
        <v>1</v>
      </c>
      <c r="Y134" s="12">
        <v>1</v>
      </c>
      <c r="Z134" s="12">
        <v>1</v>
      </c>
      <c r="AA134" s="12">
        <v>1</v>
      </c>
      <c r="AB134" s="12">
        <v>1</v>
      </c>
      <c r="AC134" s="12">
        <v>1</v>
      </c>
      <c r="AD134" s="15">
        <f t="shared" si="2"/>
        <v>8</v>
      </c>
      <c r="AE134" s="15">
        <f t="shared" si="3"/>
        <v>100</v>
      </c>
      <c r="AF134" s="14">
        <v>4</v>
      </c>
      <c r="AG134" s="14">
        <v>5</v>
      </c>
      <c r="AH134" s="14">
        <v>4</v>
      </c>
      <c r="AI134" s="14">
        <v>5</v>
      </c>
      <c r="AJ134" s="14">
        <v>4</v>
      </c>
      <c r="AK134" s="14">
        <v>4</v>
      </c>
      <c r="AL134" s="14">
        <v>4</v>
      </c>
      <c r="AM134" s="14">
        <v>5</v>
      </c>
      <c r="AN134" s="14">
        <v>4</v>
      </c>
      <c r="AO134" s="17">
        <f t="shared" si="4"/>
        <v>39</v>
      </c>
      <c r="AP134" s="17">
        <f t="shared" si="5"/>
        <v>86.666666666666671</v>
      </c>
      <c r="AQ134" s="16">
        <v>3</v>
      </c>
      <c r="AR134" s="16">
        <v>5</v>
      </c>
      <c r="AS134" s="16">
        <v>4</v>
      </c>
      <c r="AT134" s="16">
        <v>3</v>
      </c>
      <c r="AU134" s="16">
        <v>5</v>
      </c>
      <c r="AV134" s="16">
        <v>2</v>
      </c>
      <c r="AW134" s="16">
        <v>4</v>
      </c>
      <c r="AX134" s="16">
        <v>3</v>
      </c>
      <c r="AY134" s="16">
        <v>5</v>
      </c>
      <c r="AZ134" s="16">
        <v>3</v>
      </c>
      <c r="BA134" s="18">
        <f t="shared" si="6"/>
        <v>37</v>
      </c>
      <c r="BB134" s="18">
        <f t="shared" si="7"/>
        <v>74</v>
      </c>
    </row>
    <row r="135" spans="1:54" ht="22.5" customHeight="1" x14ac:dyDescent="0.2">
      <c r="A135" s="9" t="s">
        <v>93</v>
      </c>
      <c r="B135" s="9" t="s">
        <v>68</v>
      </c>
      <c r="C135" s="9" t="s">
        <v>55</v>
      </c>
      <c r="D135" s="1" t="s">
        <v>70</v>
      </c>
      <c r="E135" s="9" t="s">
        <v>60</v>
      </c>
      <c r="F135" s="9" t="s">
        <v>85</v>
      </c>
      <c r="G135" s="9" t="s">
        <v>95</v>
      </c>
      <c r="H135" s="9" t="s">
        <v>57</v>
      </c>
      <c r="I135" s="9" t="s">
        <v>62</v>
      </c>
      <c r="J135" s="11">
        <v>0</v>
      </c>
      <c r="K135" s="11">
        <v>1</v>
      </c>
      <c r="L135" s="11">
        <v>1</v>
      </c>
      <c r="M135" s="11">
        <v>1</v>
      </c>
      <c r="N135" s="11">
        <v>1</v>
      </c>
      <c r="O135" s="11">
        <v>0</v>
      </c>
      <c r="P135" s="11">
        <v>1</v>
      </c>
      <c r="Q135" s="11">
        <v>0</v>
      </c>
      <c r="R135" s="11">
        <v>1</v>
      </c>
      <c r="S135" s="11">
        <v>1.5</v>
      </c>
      <c r="T135" s="13">
        <f t="shared" si="0"/>
        <v>7.5</v>
      </c>
      <c r="U135" s="13">
        <f t="shared" si="1"/>
        <v>41.666666666666671</v>
      </c>
      <c r="V135" s="12">
        <v>1</v>
      </c>
      <c r="W135" s="12">
        <v>1</v>
      </c>
      <c r="X135" s="12">
        <v>0</v>
      </c>
      <c r="Y135" s="12">
        <v>1</v>
      </c>
      <c r="Z135" s="12">
        <v>1</v>
      </c>
      <c r="AA135" s="12">
        <v>1</v>
      </c>
      <c r="AB135" s="12">
        <v>1</v>
      </c>
      <c r="AC135" s="12">
        <v>1</v>
      </c>
      <c r="AD135" s="15">
        <f t="shared" si="2"/>
        <v>7</v>
      </c>
      <c r="AE135" s="15">
        <f t="shared" si="3"/>
        <v>87.5</v>
      </c>
      <c r="AF135" s="14">
        <v>3</v>
      </c>
      <c r="AG135" s="14">
        <v>3</v>
      </c>
      <c r="AH135" s="14">
        <v>3</v>
      </c>
      <c r="AI135" s="14">
        <v>3</v>
      </c>
      <c r="AJ135" s="14">
        <v>3</v>
      </c>
      <c r="AK135" s="14">
        <v>4</v>
      </c>
      <c r="AL135" s="14">
        <v>3</v>
      </c>
      <c r="AM135" s="14">
        <v>3</v>
      </c>
      <c r="AN135" s="14">
        <v>3</v>
      </c>
      <c r="AO135" s="17">
        <f t="shared" si="4"/>
        <v>28</v>
      </c>
      <c r="AP135" s="17">
        <f t="shared" si="5"/>
        <v>62.222222222222221</v>
      </c>
      <c r="AQ135" s="16">
        <v>5</v>
      </c>
      <c r="AR135" s="16">
        <v>2</v>
      </c>
      <c r="AS135" s="16">
        <v>2</v>
      </c>
      <c r="AT135" s="16">
        <v>3</v>
      </c>
      <c r="AU135" s="16">
        <v>1</v>
      </c>
      <c r="AV135" s="16">
        <v>2</v>
      </c>
      <c r="AW135" s="16">
        <v>2</v>
      </c>
      <c r="AX135" s="16">
        <v>4</v>
      </c>
      <c r="AY135" s="16">
        <v>1</v>
      </c>
      <c r="AZ135" s="16">
        <v>3</v>
      </c>
      <c r="BA135" s="18">
        <f t="shared" si="6"/>
        <v>25</v>
      </c>
      <c r="BB135" s="18">
        <f t="shared" si="7"/>
        <v>50</v>
      </c>
    </row>
    <row r="136" spans="1:54" ht="22.5" customHeight="1" x14ac:dyDescent="0.2">
      <c r="A136" s="9" t="s">
        <v>74</v>
      </c>
      <c r="B136" s="9" t="s">
        <v>54</v>
      </c>
      <c r="C136" s="9" t="s">
        <v>69</v>
      </c>
      <c r="D136" s="1" t="s">
        <v>75</v>
      </c>
      <c r="E136" s="9" t="s">
        <v>85</v>
      </c>
      <c r="F136" s="9" t="s">
        <v>60</v>
      </c>
      <c r="G136" s="9" t="s">
        <v>61</v>
      </c>
      <c r="H136" s="9" t="s">
        <v>57</v>
      </c>
      <c r="I136" s="9" t="s">
        <v>62</v>
      </c>
      <c r="J136" s="11">
        <v>1</v>
      </c>
      <c r="K136" s="11">
        <v>1</v>
      </c>
      <c r="L136" s="11">
        <v>2</v>
      </c>
      <c r="M136" s="11">
        <v>1</v>
      </c>
      <c r="N136" s="11">
        <v>1</v>
      </c>
      <c r="O136" s="11">
        <v>1</v>
      </c>
      <c r="P136" s="11">
        <v>2</v>
      </c>
      <c r="Q136" s="11">
        <v>1</v>
      </c>
      <c r="R136" s="11">
        <v>1</v>
      </c>
      <c r="S136" s="11">
        <v>1.5</v>
      </c>
      <c r="T136" s="13">
        <f t="shared" si="0"/>
        <v>12.5</v>
      </c>
      <c r="U136" s="13">
        <f t="shared" si="1"/>
        <v>69.444444444444443</v>
      </c>
      <c r="V136" s="12">
        <v>1</v>
      </c>
      <c r="W136" s="12">
        <v>1</v>
      </c>
      <c r="X136" s="12">
        <v>1</v>
      </c>
      <c r="Y136" s="12">
        <v>1</v>
      </c>
      <c r="Z136" s="12">
        <v>1</v>
      </c>
      <c r="AA136" s="12">
        <v>1</v>
      </c>
      <c r="AB136" s="12">
        <v>1</v>
      </c>
      <c r="AC136" s="12">
        <v>1</v>
      </c>
      <c r="AD136" s="15">
        <f t="shared" si="2"/>
        <v>8</v>
      </c>
      <c r="AE136" s="15">
        <f t="shared" si="3"/>
        <v>100</v>
      </c>
      <c r="AF136" s="14">
        <v>5</v>
      </c>
      <c r="AG136" s="14">
        <v>4</v>
      </c>
      <c r="AH136" s="14">
        <v>4</v>
      </c>
      <c r="AI136" s="14">
        <v>5</v>
      </c>
      <c r="AJ136" s="14">
        <v>3</v>
      </c>
      <c r="AK136" s="14">
        <v>4</v>
      </c>
      <c r="AL136" s="14">
        <v>3</v>
      </c>
      <c r="AM136" s="14">
        <v>5</v>
      </c>
      <c r="AN136" s="14">
        <v>4</v>
      </c>
      <c r="AO136" s="17">
        <f t="shared" si="4"/>
        <v>37</v>
      </c>
      <c r="AP136" s="17">
        <f t="shared" si="5"/>
        <v>82.222222222222214</v>
      </c>
      <c r="AQ136" s="16">
        <v>5</v>
      </c>
      <c r="AR136" s="16">
        <v>4</v>
      </c>
      <c r="AS136" s="16">
        <v>5</v>
      </c>
      <c r="AT136" s="16">
        <v>4</v>
      </c>
      <c r="AU136" s="16">
        <v>5</v>
      </c>
      <c r="AV136" s="16">
        <v>4</v>
      </c>
      <c r="AW136" s="16">
        <v>3</v>
      </c>
      <c r="AX136" s="16">
        <v>3</v>
      </c>
      <c r="AY136" s="16">
        <v>5</v>
      </c>
      <c r="AZ136" s="16">
        <v>4</v>
      </c>
      <c r="BA136" s="18">
        <f t="shared" si="6"/>
        <v>42</v>
      </c>
      <c r="BB136" s="18">
        <f t="shared" si="7"/>
        <v>84</v>
      </c>
    </row>
    <row r="137" spans="1:54" ht="22.5" customHeight="1" x14ac:dyDescent="0.2">
      <c r="A137" s="9" t="s">
        <v>67</v>
      </c>
      <c r="B137" s="9" t="s">
        <v>68</v>
      </c>
      <c r="C137" s="9" t="s">
        <v>69</v>
      </c>
      <c r="D137" s="1" t="s">
        <v>75</v>
      </c>
      <c r="E137" s="9" t="s">
        <v>71</v>
      </c>
      <c r="F137" s="9" t="s">
        <v>60</v>
      </c>
      <c r="G137" s="9" t="s">
        <v>61</v>
      </c>
      <c r="H137" s="9" t="s">
        <v>57</v>
      </c>
      <c r="I137" s="9" t="s">
        <v>62</v>
      </c>
      <c r="J137" s="11">
        <v>1</v>
      </c>
      <c r="K137" s="11">
        <v>1</v>
      </c>
      <c r="L137" s="11">
        <v>2</v>
      </c>
      <c r="M137" s="11">
        <v>0.5</v>
      </c>
      <c r="N137" s="11">
        <v>1.5</v>
      </c>
      <c r="O137" s="11">
        <v>1</v>
      </c>
      <c r="P137" s="11">
        <v>1</v>
      </c>
      <c r="Q137" s="11">
        <v>0</v>
      </c>
      <c r="R137" s="11">
        <v>1.5</v>
      </c>
      <c r="S137" s="11">
        <v>1</v>
      </c>
      <c r="T137" s="13">
        <f t="shared" si="0"/>
        <v>10.5</v>
      </c>
      <c r="U137" s="13">
        <f t="shared" si="1"/>
        <v>58.333333333333336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1</v>
      </c>
      <c r="AC137" s="12">
        <v>0</v>
      </c>
      <c r="AD137" s="15">
        <f t="shared" si="2"/>
        <v>1</v>
      </c>
      <c r="AE137" s="15">
        <f t="shared" si="3"/>
        <v>12.5</v>
      </c>
      <c r="AF137" s="14">
        <v>4</v>
      </c>
      <c r="AG137" s="14">
        <v>4</v>
      </c>
      <c r="AH137" s="14">
        <v>4</v>
      </c>
      <c r="AI137" s="14">
        <v>2</v>
      </c>
      <c r="AJ137" s="14">
        <v>2</v>
      </c>
      <c r="AK137" s="14">
        <v>4</v>
      </c>
      <c r="AL137" s="14">
        <v>4</v>
      </c>
      <c r="AM137" s="14">
        <v>4</v>
      </c>
      <c r="AN137" s="14">
        <v>4</v>
      </c>
      <c r="AO137" s="17">
        <f t="shared" si="4"/>
        <v>32</v>
      </c>
      <c r="AP137" s="17">
        <f t="shared" si="5"/>
        <v>71.111111111111114</v>
      </c>
      <c r="AQ137" s="16">
        <v>3</v>
      </c>
      <c r="AR137" s="16">
        <v>3</v>
      </c>
      <c r="AS137" s="16">
        <v>3</v>
      </c>
      <c r="AT137" s="16">
        <v>3</v>
      </c>
      <c r="AU137" s="16">
        <v>1</v>
      </c>
      <c r="AV137" s="16">
        <v>3</v>
      </c>
      <c r="AW137" s="16">
        <v>3</v>
      </c>
      <c r="AX137" s="16">
        <v>3</v>
      </c>
      <c r="AY137" s="16">
        <v>1</v>
      </c>
      <c r="AZ137" s="16">
        <v>3</v>
      </c>
      <c r="BA137" s="18">
        <f t="shared" si="6"/>
        <v>26</v>
      </c>
      <c r="BB137" s="18">
        <f t="shared" si="7"/>
        <v>52</v>
      </c>
    </row>
    <row r="138" spans="1:54" ht="22.5" customHeight="1" x14ac:dyDescent="0.2">
      <c r="A138" s="9" t="s">
        <v>67</v>
      </c>
      <c r="B138" s="9" t="s">
        <v>54</v>
      </c>
      <c r="C138" s="9" t="s">
        <v>69</v>
      </c>
      <c r="D138" s="1" t="s">
        <v>57</v>
      </c>
      <c r="E138" s="9" t="s">
        <v>85</v>
      </c>
      <c r="F138" s="9" t="s">
        <v>60</v>
      </c>
      <c r="G138" s="9" t="s">
        <v>95</v>
      </c>
      <c r="H138" s="9" t="s">
        <v>99</v>
      </c>
      <c r="I138" s="9" t="s">
        <v>62</v>
      </c>
      <c r="J138" s="11">
        <v>1</v>
      </c>
      <c r="K138" s="11">
        <v>1</v>
      </c>
      <c r="L138" s="11">
        <v>2</v>
      </c>
      <c r="M138" s="11">
        <v>0.5</v>
      </c>
      <c r="N138" s="11">
        <v>1.5</v>
      </c>
      <c r="O138" s="11">
        <v>0</v>
      </c>
      <c r="P138" s="11">
        <v>2</v>
      </c>
      <c r="Q138" s="11">
        <v>1</v>
      </c>
      <c r="R138" s="11">
        <v>1.5</v>
      </c>
      <c r="S138" s="11">
        <v>1</v>
      </c>
      <c r="T138" s="13">
        <f t="shared" si="0"/>
        <v>11.5</v>
      </c>
      <c r="U138" s="13">
        <f t="shared" si="1"/>
        <v>63.888888888888886</v>
      </c>
      <c r="V138" s="12">
        <v>1</v>
      </c>
      <c r="W138" s="12">
        <v>1</v>
      </c>
      <c r="X138" s="12">
        <v>1</v>
      </c>
      <c r="Y138" s="12">
        <v>1</v>
      </c>
      <c r="Z138" s="12">
        <v>1</v>
      </c>
      <c r="AA138" s="12">
        <v>1</v>
      </c>
      <c r="AB138" s="12">
        <v>1</v>
      </c>
      <c r="AC138" s="12">
        <v>1</v>
      </c>
      <c r="AD138" s="15">
        <f t="shared" si="2"/>
        <v>8</v>
      </c>
      <c r="AE138" s="15">
        <f t="shared" si="3"/>
        <v>100</v>
      </c>
      <c r="AF138" s="14">
        <v>4</v>
      </c>
      <c r="AG138" s="14">
        <v>4</v>
      </c>
      <c r="AH138" s="14">
        <v>3</v>
      </c>
      <c r="AI138" s="14">
        <v>4</v>
      </c>
      <c r="AJ138" s="14">
        <v>4</v>
      </c>
      <c r="AK138" s="14">
        <v>5</v>
      </c>
      <c r="AL138" s="14">
        <v>4</v>
      </c>
      <c r="AM138" s="14">
        <v>4</v>
      </c>
      <c r="AN138" s="14">
        <v>4</v>
      </c>
      <c r="AO138" s="17">
        <f t="shared" si="4"/>
        <v>36</v>
      </c>
      <c r="AP138" s="17">
        <f t="shared" si="5"/>
        <v>80</v>
      </c>
      <c r="AQ138" s="16">
        <v>5</v>
      </c>
      <c r="AR138" s="16">
        <v>4</v>
      </c>
      <c r="AS138" s="16">
        <v>3</v>
      </c>
      <c r="AT138" s="16">
        <v>4</v>
      </c>
      <c r="AU138" s="16">
        <v>5</v>
      </c>
      <c r="AV138" s="16">
        <v>2</v>
      </c>
      <c r="AW138" s="16">
        <v>5</v>
      </c>
      <c r="AX138" s="16">
        <v>4</v>
      </c>
      <c r="AY138" s="16">
        <v>5</v>
      </c>
      <c r="AZ138" s="16">
        <v>2</v>
      </c>
      <c r="BA138" s="18">
        <f t="shared" si="6"/>
        <v>39</v>
      </c>
      <c r="BB138" s="18">
        <f t="shared" si="7"/>
        <v>78</v>
      </c>
    </row>
    <row r="139" spans="1:54" ht="22.5" customHeight="1" x14ac:dyDescent="0.2">
      <c r="A139" s="9" t="s">
        <v>74</v>
      </c>
      <c r="B139" s="9" t="s">
        <v>68</v>
      </c>
      <c r="C139" s="9" t="s">
        <v>55</v>
      </c>
      <c r="D139" s="1" t="s">
        <v>75</v>
      </c>
      <c r="E139" s="9" t="s">
        <v>85</v>
      </c>
      <c r="F139" s="9" t="s">
        <v>60</v>
      </c>
      <c r="G139" s="9" t="s">
        <v>95</v>
      </c>
      <c r="H139" s="9" t="s">
        <v>57</v>
      </c>
      <c r="I139" s="9" t="s">
        <v>81</v>
      </c>
      <c r="J139" s="11">
        <v>1</v>
      </c>
      <c r="K139" s="11">
        <v>1</v>
      </c>
      <c r="L139" s="11">
        <v>2</v>
      </c>
      <c r="M139" s="11">
        <v>0</v>
      </c>
      <c r="N139" s="11">
        <v>1</v>
      </c>
      <c r="O139" s="11">
        <v>1</v>
      </c>
      <c r="P139" s="11">
        <v>0.5</v>
      </c>
      <c r="Q139" s="11">
        <v>1</v>
      </c>
      <c r="R139" s="11">
        <v>1.5</v>
      </c>
      <c r="S139" s="11">
        <v>1</v>
      </c>
      <c r="T139" s="13">
        <f t="shared" si="0"/>
        <v>10</v>
      </c>
      <c r="U139" s="13">
        <f t="shared" si="1"/>
        <v>55.555555555555557</v>
      </c>
      <c r="V139" s="12">
        <v>1</v>
      </c>
      <c r="W139" s="12">
        <v>1</v>
      </c>
      <c r="X139" s="12">
        <v>1</v>
      </c>
      <c r="Y139" s="12">
        <v>1</v>
      </c>
      <c r="Z139" s="12">
        <v>1</v>
      </c>
      <c r="AA139" s="12">
        <v>1</v>
      </c>
      <c r="AB139" s="12">
        <v>1</v>
      </c>
      <c r="AC139" s="12">
        <v>1</v>
      </c>
      <c r="AD139" s="15">
        <f t="shared" si="2"/>
        <v>8</v>
      </c>
      <c r="AE139" s="15">
        <f t="shared" si="3"/>
        <v>100</v>
      </c>
      <c r="AF139" s="14">
        <v>4</v>
      </c>
      <c r="AG139" s="14">
        <v>5</v>
      </c>
      <c r="AH139" s="14">
        <v>4</v>
      </c>
      <c r="AI139" s="14">
        <v>5</v>
      </c>
      <c r="AJ139" s="14">
        <v>4</v>
      </c>
      <c r="AK139" s="14">
        <v>4</v>
      </c>
      <c r="AL139" s="14">
        <v>4</v>
      </c>
      <c r="AM139" s="14">
        <v>4</v>
      </c>
      <c r="AN139" s="14">
        <v>4</v>
      </c>
      <c r="AO139" s="17">
        <f t="shared" si="4"/>
        <v>38</v>
      </c>
      <c r="AP139" s="17">
        <f t="shared" si="5"/>
        <v>84.444444444444443</v>
      </c>
      <c r="AQ139" s="16">
        <v>3</v>
      </c>
      <c r="AR139" s="16">
        <v>4</v>
      </c>
      <c r="AS139" s="16">
        <v>3</v>
      </c>
      <c r="AT139" s="16">
        <v>2</v>
      </c>
      <c r="AU139" s="16">
        <v>5</v>
      </c>
      <c r="AV139" s="16">
        <v>2</v>
      </c>
      <c r="AW139" s="16">
        <v>4</v>
      </c>
      <c r="AX139" s="16">
        <v>3</v>
      </c>
      <c r="AY139" s="16">
        <v>5</v>
      </c>
      <c r="AZ139" s="16">
        <v>4</v>
      </c>
      <c r="BA139" s="18">
        <f t="shared" si="6"/>
        <v>35</v>
      </c>
      <c r="BB139" s="18">
        <f t="shared" si="7"/>
        <v>70</v>
      </c>
    </row>
    <row r="140" spans="1:54" ht="22.5" customHeight="1" x14ac:dyDescent="0.2">
      <c r="A140" s="9" t="s">
        <v>67</v>
      </c>
      <c r="B140" s="9" t="s">
        <v>54</v>
      </c>
      <c r="C140" s="9" t="s">
        <v>69</v>
      </c>
      <c r="D140" s="1" t="s">
        <v>102</v>
      </c>
      <c r="E140" s="9" t="s">
        <v>71</v>
      </c>
      <c r="F140" s="9" t="s">
        <v>60</v>
      </c>
      <c r="G140" s="9" t="s">
        <v>61</v>
      </c>
      <c r="H140" s="9" t="s">
        <v>86</v>
      </c>
      <c r="I140" s="9" t="s">
        <v>72</v>
      </c>
      <c r="J140" s="11">
        <v>1</v>
      </c>
      <c r="K140" s="11">
        <v>1</v>
      </c>
      <c r="L140" s="11">
        <v>1</v>
      </c>
      <c r="M140" s="11">
        <v>0.5</v>
      </c>
      <c r="N140" s="11">
        <v>1.5</v>
      </c>
      <c r="O140" s="11">
        <v>1</v>
      </c>
      <c r="P140" s="11">
        <v>1</v>
      </c>
      <c r="Q140" s="11">
        <v>1</v>
      </c>
      <c r="R140" s="11">
        <v>1.5</v>
      </c>
      <c r="S140" s="11">
        <v>1.5</v>
      </c>
      <c r="T140" s="13">
        <f t="shared" si="0"/>
        <v>11</v>
      </c>
      <c r="U140" s="13">
        <f t="shared" si="1"/>
        <v>61.111111111111114</v>
      </c>
      <c r="V140" s="12">
        <v>1</v>
      </c>
      <c r="W140" s="12">
        <v>1</v>
      </c>
      <c r="X140" s="12">
        <v>1</v>
      </c>
      <c r="Y140" s="12">
        <v>0</v>
      </c>
      <c r="Z140" s="12">
        <v>1</v>
      </c>
      <c r="AA140" s="12">
        <v>1</v>
      </c>
      <c r="AB140" s="12">
        <v>1</v>
      </c>
      <c r="AC140" s="12">
        <v>1</v>
      </c>
      <c r="AD140" s="15">
        <f t="shared" si="2"/>
        <v>7</v>
      </c>
      <c r="AE140" s="15">
        <f t="shared" si="3"/>
        <v>87.5</v>
      </c>
      <c r="AF140" s="14">
        <v>4</v>
      </c>
      <c r="AG140" s="14">
        <v>5</v>
      </c>
      <c r="AH140" s="14">
        <v>4</v>
      </c>
      <c r="AI140" s="14">
        <v>4</v>
      </c>
      <c r="AJ140" s="14">
        <v>4</v>
      </c>
      <c r="AK140" s="14">
        <v>4</v>
      </c>
      <c r="AL140" s="14">
        <v>4</v>
      </c>
      <c r="AM140" s="14">
        <v>3</v>
      </c>
      <c r="AN140" s="14">
        <v>5</v>
      </c>
      <c r="AO140" s="17">
        <f t="shared" si="4"/>
        <v>37</v>
      </c>
      <c r="AP140" s="17">
        <f t="shared" si="5"/>
        <v>82.222222222222214</v>
      </c>
      <c r="AQ140" s="16">
        <v>5</v>
      </c>
      <c r="AR140" s="16">
        <v>3</v>
      </c>
      <c r="AS140" s="16">
        <v>2</v>
      </c>
      <c r="AT140" s="16">
        <v>4</v>
      </c>
      <c r="AU140" s="16">
        <v>5</v>
      </c>
      <c r="AV140" s="16">
        <v>5</v>
      </c>
      <c r="AW140" s="16">
        <v>2</v>
      </c>
      <c r="AX140" s="16">
        <v>4</v>
      </c>
      <c r="AY140" s="16">
        <v>5</v>
      </c>
      <c r="AZ140" s="16">
        <v>3</v>
      </c>
      <c r="BA140" s="18">
        <f t="shared" si="6"/>
        <v>38</v>
      </c>
      <c r="BB140" s="18">
        <f t="shared" si="7"/>
        <v>76</v>
      </c>
    </row>
    <row r="141" spans="1:54" ht="22.5" customHeight="1" x14ac:dyDescent="0.2">
      <c r="A141" s="9" t="s">
        <v>52</v>
      </c>
      <c r="B141" s="9" t="s">
        <v>68</v>
      </c>
      <c r="C141" s="9" t="s">
        <v>69</v>
      </c>
      <c r="D141" s="1" t="s">
        <v>100</v>
      </c>
      <c r="E141" s="9" t="s">
        <v>60</v>
      </c>
      <c r="F141" s="9" t="s">
        <v>71</v>
      </c>
      <c r="G141" s="9" t="s">
        <v>76</v>
      </c>
      <c r="H141" s="9" t="s">
        <v>57</v>
      </c>
      <c r="I141" s="9" t="s">
        <v>96</v>
      </c>
      <c r="J141" s="11">
        <v>1</v>
      </c>
      <c r="K141" s="11">
        <v>1</v>
      </c>
      <c r="L141" s="11">
        <v>1</v>
      </c>
      <c r="M141" s="11">
        <v>2</v>
      </c>
      <c r="N141" s="11">
        <v>2</v>
      </c>
      <c r="O141" s="11">
        <v>1</v>
      </c>
      <c r="P141" s="11">
        <v>0.5</v>
      </c>
      <c r="Q141" s="11">
        <v>1</v>
      </c>
      <c r="R141" s="11">
        <v>1.5</v>
      </c>
      <c r="S141" s="11">
        <v>1.5</v>
      </c>
      <c r="T141" s="13">
        <f t="shared" si="0"/>
        <v>12.5</v>
      </c>
      <c r="U141" s="13">
        <f t="shared" si="1"/>
        <v>69.444444444444443</v>
      </c>
      <c r="V141" s="12">
        <v>1</v>
      </c>
      <c r="W141" s="12">
        <v>1</v>
      </c>
      <c r="X141" s="12">
        <v>1</v>
      </c>
      <c r="Y141" s="12">
        <v>0</v>
      </c>
      <c r="Z141" s="12">
        <v>1</v>
      </c>
      <c r="AA141" s="12">
        <v>1</v>
      </c>
      <c r="AB141" s="12">
        <v>1</v>
      </c>
      <c r="AC141" s="12">
        <v>1</v>
      </c>
      <c r="AD141" s="15">
        <f t="shared" si="2"/>
        <v>7</v>
      </c>
      <c r="AE141" s="15">
        <f t="shared" si="3"/>
        <v>87.5</v>
      </c>
      <c r="AF141" s="14">
        <v>4</v>
      </c>
      <c r="AG141" s="14">
        <v>5</v>
      </c>
      <c r="AH141" s="14">
        <v>4</v>
      </c>
      <c r="AI141" s="14">
        <v>4</v>
      </c>
      <c r="AJ141" s="14">
        <v>5</v>
      </c>
      <c r="AK141" s="14">
        <v>4</v>
      </c>
      <c r="AL141" s="14">
        <v>5</v>
      </c>
      <c r="AM141" s="14">
        <v>4</v>
      </c>
      <c r="AN141" s="14">
        <v>3</v>
      </c>
      <c r="AO141" s="17">
        <f t="shared" si="4"/>
        <v>38</v>
      </c>
      <c r="AP141" s="17">
        <f t="shared" si="5"/>
        <v>84.444444444444443</v>
      </c>
      <c r="AQ141" s="16">
        <v>5</v>
      </c>
      <c r="AR141" s="16">
        <v>4</v>
      </c>
      <c r="AS141" s="16">
        <v>3</v>
      </c>
      <c r="AT141" s="16">
        <v>2</v>
      </c>
      <c r="AU141" s="16">
        <v>5</v>
      </c>
      <c r="AV141" s="16">
        <v>3</v>
      </c>
      <c r="AW141" s="16">
        <v>5</v>
      </c>
      <c r="AX141" s="16">
        <v>4</v>
      </c>
      <c r="AY141" s="16">
        <v>5</v>
      </c>
      <c r="AZ141" s="16">
        <v>3</v>
      </c>
      <c r="BA141" s="18">
        <f t="shared" si="6"/>
        <v>39</v>
      </c>
      <c r="BB141" s="18">
        <f t="shared" si="7"/>
        <v>78</v>
      </c>
    </row>
    <row r="142" spans="1:54" ht="22.5" customHeight="1" x14ac:dyDescent="0.2">
      <c r="A142" s="9" t="s">
        <v>93</v>
      </c>
      <c r="B142" s="9" t="s">
        <v>68</v>
      </c>
      <c r="C142" s="9" t="s">
        <v>55</v>
      </c>
      <c r="D142" s="1" t="s">
        <v>75</v>
      </c>
      <c r="E142" s="9" t="s">
        <v>60</v>
      </c>
      <c r="F142" s="9" t="s">
        <v>85</v>
      </c>
      <c r="G142" s="9" t="s">
        <v>61</v>
      </c>
      <c r="H142" s="9" t="s">
        <v>99</v>
      </c>
      <c r="I142" s="9" t="s">
        <v>81</v>
      </c>
      <c r="J142" s="11">
        <v>0</v>
      </c>
      <c r="K142" s="11">
        <v>0</v>
      </c>
      <c r="L142" s="11">
        <v>1</v>
      </c>
      <c r="M142" s="11">
        <v>0</v>
      </c>
      <c r="N142" s="11">
        <v>0.5</v>
      </c>
      <c r="O142" s="11">
        <v>0</v>
      </c>
      <c r="P142" s="11">
        <v>0</v>
      </c>
      <c r="Q142" s="11">
        <v>0</v>
      </c>
      <c r="R142" s="11">
        <v>1</v>
      </c>
      <c r="S142" s="11">
        <v>0</v>
      </c>
      <c r="T142" s="13">
        <f t="shared" si="0"/>
        <v>2.5</v>
      </c>
      <c r="U142" s="13">
        <f t="shared" si="1"/>
        <v>13.888888888888889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5">
        <f t="shared" si="2"/>
        <v>0</v>
      </c>
      <c r="AE142" s="15">
        <f t="shared" si="3"/>
        <v>0</v>
      </c>
      <c r="AF142" s="14">
        <v>3</v>
      </c>
      <c r="AG142" s="14">
        <v>3</v>
      </c>
      <c r="AH142" s="14">
        <v>4</v>
      </c>
      <c r="AI142" s="14">
        <v>3</v>
      </c>
      <c r="AJ142" s="14">
        <v>3</v>
      </c>
      <c r="AK142" s="14">
        <v>3</v>
      </c>
      <c r="AL142" s="14">
        <v>3</v>
      </c>
      <c r="AM142" s="14">
        <v>3</v>
      </c>
      <c r="AN142" s="14">
        <v>3</v>
      </c>
      <c r="AO142" s="17">
        <f t="shared" si="4"/>
        <v>28</v>
      </c>
      <c r="AP142" s="17">
        <f t="shared" si="5"/>
        <v>62.222222222222221</v>
      </c>
      <c r="AQ142" s="16">
        <v>1</v>
      </c>
      <c r="AR142" s="16">
        <v>1</v>
      </c>
      <c r="AS142" s="16">
        <v>1</v>
      </c>
      <c r="AT142" s="16">
        <v>1</v>
      </c>
      <c r="AU142" s="16">
        <v>1</v>
      </c>
      <c r="AV142" s="16">
        <v>5</v>
      </c>
      <c r="AW142" s="16">
        <v>2</v>
      </c>
      <c r="AX142" s="16">
        <v>2</v>
      </c>
      <c r="AY142" s="16">
        <v>1</v>
      </c>
      <c r="AZ142" s="16">
        <v>1</v>
      </c>
      <c r="BA142" s="18">
        <f t="shared" si="6"/>
        <v>16</v>
      </c>
      <c r="BB142" s="18">
        <f t="shared" si="7"/>
        <v>32</v>
      </c>
    </row>
    <row r="143" spans="1:54" ht="22.5" customHeight="1" x14ac:dyDescent="0.2">
      <c r="A143" s="9" t="s">
        <v>93</v>
      </c>
      <c r="B143" s="9" t="s">
        <v>68</v>
      </c>
      <c r="C143" s="9" t="s">
        <v>55</v>
      </c>
      <c r="D143" s="1" t="s">
        <v>100</v>
      </c>
      <c r="E143" s="9" t="s">
        <v>92</v>
      </c>
      <c r="F143" s="9" t="s">
        <v>92</v>
      </c>
      <c r="G143" s="9" t="s">
        <v>61</v>
      </c>
      <c r="H143" s="9" t="s">
        <v>57</v>
      </c>
      <c r="I143" s="9" t="s">
        <v>81</v>
      </c>
      <c r="J143" s="11">
        <v>0</v>
      </c>
      <c r="K143" s="11">
        <v>0</v>
      </c>
      <c r="L143" s="11">
        <v>0</v>
      </c>
      <c r="M143" s="11">
        <v>0</v>
      </c>
      <c r="N143" s="11">
        <v>0.5</v>
      </c>
      <c r="O143" s="11">
        <v>0</v>
      </c>
      <c r="P143" s="11">
        <v>0</v>
      </c>
      <c r="Q143" s="11">
        <v>0</v>
      </c>
      <c r="R143" s="11">
        <v>1</v>
      </c>
      <c r="S143" s="11">
        <v>1</v>
      </c>
      <c r="T143" s="13">
        <f t="shared" si="0"/>
        <v>2.5</v>
      </c>
      <c r="U143" s="13">
        <f t="shared" si="1"/>
        <v>13.888888888888889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5">
        <f t="shared" si="2"/>
        <v>0</v>
      </c>
      <c r="AE143" s="15">
        <f t="shared" si="3"/>
        <v>0</v>
      </c>
      <c r="AF143" s="14">
        <v>4</v>
      </c>
      <c r="AG143" s="14">
        <v>4</v>
      </c>
      <c r="AH143" s="14">
        <v>4</v>
      </c>
      <c r="AI143" s="14">
        <v>4</v>
      </c>
      <c r="AJ143" s="14">
        <v>4</v>
      </c>
      <c r="AK143" s="14">
        <v>4</v>
      </c>
      <c r="AL143" s="14">
        <v>4</v>
      </c>
      <c r="AM143" s="14">
        <v>4</v>
      </c>
      <c r="AN143" s="14">
        <v>4</v>
      </c>
      <c r="AO143" s="17">
        <f t="shared" si="4"/>
        <v>36</v>
      </c>
      <c r="AP143" s="17">
        <f t="shared" si="5"/>
        <v>80</v>
      </c>
      <c r="AQ143" s="16">
        <v>2</v>
      </c>
      <c r="AR143" s="16">
        <v>2</v>
      </c>
      <c r="AS143" s="16">
        <v>2</v>
      </c>
      <c r="AT143" s="16">
        <v>2</v>
      </c>
      <c r="AU143" s="16">
        <v>1</v>
      </c>
      <c r="AV143" s="16">
        <v>2</v>
      </c>
      <c r="AW143" s="16">
        <v>2</v>
      </c>
      <c r="AX143" s="16">
        <v>2</v>
      </c>
      <c r="AY143" s="16">
        <v>1</v>
      </c>
      <c r="AZ143" s="16">
        <v>2</v>
      </c>
      <c r="BA143" s="18">
        <f t="shared" si="6"/>
        <v>18</v>
      </c>
      <c r="BB143" s="18">
        <f t="shared" si="7"/>
        <v>36</v>
      </c>
    </row>
    <row r="144" spans="1:54" ht="22.5" customHeight="1" x14ac:dyDescent="0.2">
      <c r="A144" s="9" t="s">
        <v>93</v>
      </c>
      <c r="B144" s="9" t="s">
        <v>68</v>
      </c>
      <c r="C144" s="9" t="s">
        <v>55</v>
      </c>
      <c r="D144" s="1" t="s">
        <v>100</v>
      </c>
      <c r="E144" s="9" t="s">
        <v>71</v>
      </c>
      <c r="F144" s="9" t="s">
        <v>71</v>
      </c>
      <c r="G144" s="9" t="s">
        <v>95</v>
      </c>
      <c r="H144" s="9" t="s">
        <v>101</v>
      </c>
      <c r="I144" s="9" t="s">
        <v>81</v>
      </c>
      <c r="J144" s="11">
        <v>0</v>
      </c>
      <c r="K144" s="11">
        <v>0</v>
      </c>
      <c r="L144" s="11">
        <v>0</v>
      </c>
      <c r="M144" s="11">
        <v>0</v>
      </c>
      <c r="N144" s="11">
        <v>0.5</v>
      </c>
      <c r="O144" s="11">
        <v>0</v>
      </c>
      <c r="P144" s="11">
        <v>2</v>
      </c>
      <c r="Q144" s="11">
        <v>1</v>
      </c>
      <c r="R144" s="11">
        <v>1</v>
      </c>
      <c r="S144" s="11">
        <v>0.5</v>
      </c>
      <c r="T144" s="13">
        <f t="shared" si="0"/>
        <v>5</v>
      </c>
      <c r="U144" s="13">
        <f t="shared" si="1"/>
        <v>27.777777777777779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5">
        <f t="shared" si="2"/>
        <v>0</v>
      </c>
      <c r="AE144" s="15">
        <f t="shared" si="3"/>
        <v>0</v>
      </c>
      <c r="AF144" s="14">
        <v>3</v>
      </c>
      <c r="AG144" s="14">
        <v>3</v>
      </c>
      <c r="AH144" s="14">
        <v>3</v>
      </c>
      <c r="AI144" s="14">
        <v>3</v>
      </c>
      <c r="AJ144" s="14">
        <v>3</v>
      </c>
      <c r="AK144" s="14">
        <v>3</v>
      </c>
      <c r="AL144" s="14">
        <v>3</v>
      </c>
      <c r="AM144" s="14">
        <v>3</v>
      </c>
      <c r="AN144" s="14">
        <v>3</v>
      </c>
      <c r="AO144" s="17">
        <f t="shared" si="4"/>
        <v>27</v>
      </c>
      <c r="AP144" s="17">
        <f t="shared" si="5"/>
        <v>60</v>
      </c>
      <c r="AQ144" s="16">
        <v>2</v>
      </c>
      <c r="AR144" s="16">
        <v>2</v>
      </c>
      <c r="AS144" s="16">
        <v>2</v>
      </c>
      <c r="AT144" s="16">
        <v>2</v>
      </c>
      <c r="AU144" s="16">
        <v>1</v>
      </c>
      <c r="AV144" s="16">
        <v>2</v>
      </c>
      <c r="AW144" s="16">
        <v>2</v>
      </c>
      <c r="AX144" s="16">
        <v>2</v>
      </c>
      <c r="AY144" s="16">
        <v>1</v>
      </c>
      <c r="AZ144" s="16">
        <v>2</v>
      </c>
      <c r="BA144" s="18">
        <f t="shared" si="6"/>
        <v>18</v>
      </c>
      <c r="BB144" s="18">
        <f t="shared" si="7"/>
        <v>36</v>
      </c>
    </row>
    <row r="145" spans="1:54" ht="22.5" customHeight="1" x14ac:dyDescent="0.2">
      <c r="A145" s="9" t="s">
        <v>93</v>
      </c>
      <c r="B145" s="9" t="s">
        <v>68</v>
      </c>
      <c r="C145" s="9" t="s">
        <v>55</v>
      </c>
      <c r="D145" s="1" t="s">
        <v>75</v>
      </c>
      <c r="E145" s="9" t="s">
        <v>59</v>
      </c>
      <c r="F145" s="9" t="s">
        <v>71</v>
      </c>
      <c r="G145" s="9" t="s">
        <v>76</v>
      </c>
      <c r="H145" s="9" t="s">
        <v>57</v>
      </c>
      <c r="I145" s="9" t="s">
        <v>62</v>
      </c>
      <c r="J145" s="11">
        <v>1</v>
      </c>
      <c r="K145" s="11">
        <v>1</v>
      </c>
      <c r="L145" s="11">
        <v>3</v>
      </c>
      <c r="M145" s="11">
        <v>2</v>
      </c>
      <c r="N145" s="11">
        <v>1</v>
      </c>
      <c r="O145" s="11">
        <v>1</v>
      </c>
      <c r="P145" s="11">
        <v>1.5</v>
      </c>
      <c r="Q145" s="11">
        <v>1</v>
      </c>
      <c r="R145" s="11">
        <v>1.5</v>
      </c>
      <c r="S145" s="11">
        <v>1.5</v>
      </c>
      <c r="T145" s="13">
        <f t="shared" si="0"/>
        <v>14.5</v>
      </c>
      <c r="U145" s="13">
        <f t="shared" si="1"/>
        <v>80.555555555555557</v>
      </c>
      <c r="V145" s="12">
        <v>1</v>
      </c>
      <c r="W145" s="12">
        <v>1</v>
      </c>
      <c r="X145" s="12">
        <v>0</v>
      </c>
      <c r="Y145" s="12">
        <v>1</v>
      </c>
      <c r="Z145" s="12">
        <v>1</v>
      </c>
      <c r="AA145" s="12">
        <v>1</v>
      </c>
      <c r="AB145" s="12">
        <v>1</v>
      </c>
      <c r="AC145" s="12">
        <v>1</v>
      </c>
      <c r="AD145" s="15">
        <f t="shared" si="2"/>
        <v>7</v>
      </c>
      <c r="AE145" s="15">
        <f t="shared" si="3"/>
        <v>87.5</v>
      </c>
      <c r="AF145" s="14">
        <v>4</v>
      </c>
      <c r="AG145" s="14">
        <v>5</v>
      </c>
      <c r="AH145" s="14">
        <v>5</v>
      </c>
      <c r="AI145" s="14">
        <v>5</v>
      </c>
      <c r="AJ145" s="14">
        <v>5</v>
      </c>
      <c r="AK145" s="14">
        <v>5</v>
      </c>
      <c r="AL145" s="14">
        <v>5</v>
      </c>
      <c r="AM145" s="14">
        <v>5</v>
      </c>
      <c r="AN145" s="14">
        <v>5</v>
      </c>
      <c r="AO145" s="17">
        <f t="shared" si="4"/>
        <v>44</v>
      </c>
      <c r="AP145" s="17">
        <f t="shared" si="5"/>
        <v>97.777777777777771</v>
      </c>
      <c r="AQ145" s="16">
        <v>5</v>
      </c>
      <c r="AR145" s="16">
        <v>5</v>
      </c>
      <c r="AS145" s="16">
        <v>5</v>
      </c>
      <c r="AT145" s="16">
        <v>5</v>
      </c>
      <c r="AU145" s="16">
        <v>5</v>
      </c>
      <c r="AV145" s="16">
        <v>5</v>
      </c>
      <c r="AW145" s="16">
        <v>5</v>
      </c>
      <c r="AX145" s="16">
        <v>5</v>
      </c>
      <c r="AY145" s="16">
        <v>5</v>
      </c>
      <c r="AZ145" s="16">
        <v>5</v>
      </c>
      <c r="BA145" s="18">
        <f t="shared" si="6"/>
        <v>50</v>
      </c>
      <c r="BB145" s="18">
        <f t="shared" si="7"/>
        <v>100</v>
      </c>
    </row>
    <row r="146" spans="1:54" ht="22.5" customHeight="1" x14ac:dyDescent="0.2">
      <c r="A146" s="9" t="s">
        <v>93</v>
      </c>
      <c r="B146" s="9" t="s">
        <v>68</v>
      </c>
      <c r="C146" s="9" t="s">
        <v>55</v>
      </c>
      <c r="D146" s="1" t="s">
        <v>100</v>
      </c>
      <c r="E146" s="9" t="s">
        <v>71</v>
      </c>
      <c r="F146" s="9" t="s">
        <v>85</v>
      </c>
      <c r="G146" s="9" t="s">
        <v>76</v>
      </c>
      <c r="H146" s="9" t="s">
        <v>57</v>
      </c>
      <c r="I146" s="9" t="s">
        <v>62</v>
      </c>
      <c r="J146" s="11">
        <v>1</v>
      </c>
      <c r="K146" s="11">
        <v>1</v>
      </c>
      <c r="L146" s="11">
        <v>1</v>
      </c>
      <c r="M146" s="11">
        <v>2</v>
      </c>
      <c r="N146" s="11">
        <v>1</v>
      </c>
      <c r="O146" s="11">
        <v>1</v>
      </c>
      <c r="P146" s="11">
        <v>1.5</v>
      </c>
      <c r="Q146" s="11">
        <v>1</v>
      </c>
      <c r="R146" s="11">
        <v>2</v>
      </c>
      <c r="S146" s="11">
        <v>2</v>
      </c>
      <c r="T146" s="13">
        <f t="shared" si="0"/>
        <v>13.5</v>
      </c>
      <c r="U146" s="13">
        <f t="shared" si="1"/>
        <v>75</v>
      </c>
      <c r="V146" s="12">
        <v>1</v>
      </c>
      <c r="W146" s="12">
        <v>1</v>
      </c>
      <c r="X146" s="12">
        <v>1</v>
      </c>
      <c r="Y146" s="12">
        <v>1</v>
      </c>
      <c r="Z146" s="12">
        <v>1</v>
      </c>
      <c r="AA146" s="12">
        <v>1</v>
      </c>
      <c r="AB146" s="12">
        <v>1</v>
      </c>
      <c r="AC146" s="12">
        <v>1</v>
      </c>
      <c r="AD146" s="15">
        <f t="shared" si="2"/>
        <v>8</v>
      </c>
      <c r="AE146" s="15">
        <f t="shared" si="3"/>
        <v>100</v>
      </c>
      <c r="AF146" s="14">
        <v>5</v>
      </c>
      <c r="AG146" s="14">
        <v>5</v>
      </c>
      <c r="AH146" s="14">
        <v>5</v>
      </c>
      <c r="AI146" s="14">
        <v>5</v>
      </c>
      <c r="AJ146" s="14">
        <v>5</v>
      </c>
      <c r="AK146" s="14">
        <v>5</v>
      </c>
      <c r="AL146" s="14">
        <v>5</v>
      </c>
      <c r="AM146" s="14">
        <v>5</v>
      </c>
      <c r="AN146" s="14">
        <v>5</v>
      </c>
      <c r="AO146" s="17">
        <f t="shared" si="4"/>
        <v>45</v>
      </c>
      <c r="AP146" s="17">
        <f t="shared" si="5"/>
        <v>100</v>
      </c>
      <c r="AQ146" s="16">
        <v>5</v>
      </c>
      <c r="AR146" s="16">
        <v>5</v>
      </c>
      <c r="AS146" s="16">
        <v>5</v>
      </c>
      <c r="AT146" s="16">
        <v>5</v>
      </c>
      <c r="AU146" s="16">
        <v>5</v>
      </c>
      <c r="AV146" s="16">
        <v>5</v>
      </c>
      <c r="AW146" s="16">
        <v>5</v>
      </c>
      <c r="AX146" s="16">
        <v>5</v>
      </c>
      <c r="AY146" s="16">
        <v>5</v>
      </c>
      <c r="AZ146" s="16">
        <v>5</v>
      </c>
      <c r="BA146" s="18">
        <f t="shared" si="6"/>
        <v>50</v>
      </c>
      <c r="BB146" s="18">
        <f t="shared" si="7"/>
        <v>100</v>
      </c>
    </row>
    <row r="147" spans="1:54" ht="22.5" customHeight="1" x14ac:dyDescent="0.2">
      <c r="A147" s="9" t="s">
        <v>52</v>
      </c>
      <c r="B147" s="9" t="s">
        <v>54</v>
      </c>
      <c r="C147" s="9" t="s">
        <v>55</v>
      </c>
      <c r="D147" s="1" t="s">
        <v>57</v>
      </c>
      <c r="E147" s="9" t="s">
        <v>60</v>
      </c>
      <c r="F147" s="9" t="s">
        <v>85</v>
      </c>
      <c r="G147" s="9" t="s">
        <v>61</v>
      </c>
      <c r="H147" s="9" t="s">
        <v>57</v>
      </c>
      <c r="I147" s="9" t="s">
        <v>62</v>
      </c>
      <c r="J147" s="11">
        <v>0</v>
      </c>
      <c r="K147" s="11">
        <v>0</v>
      </c>
      <c r="L147" s="11">
        <v>1</v>
      </c>
      <c r="M147" s="11">
        <v>0</v>
      </c>
      <c r="N147" s="11">
        <v>0.5</v>
      </c>
      <c r="O147" s="11">
        <v>0</v>
      </c>
      <c r="P147" s="11">
        <v>1.5</v>
      </c>
      <c r="Q147" s="11">
        <v>1</v>
      </c>
      <c r="R147" s="11">
        <v>2</v>
      </c>
      <c r="S147" s="11">
        <v>2</v>
      </c>
      <c r="T147" s="13">
        <f t="shared" si="0"/>
        <v>8</v>
      </c>
      <c r="U147" s="13">
        <f t="shared" si="1"/>
        <v>44.444444444444443</v>
      </c>
      <c r="V147" s="12">
        <v>1</v>
      </c>
      <c r="W147" s="12">
        <v>1</v>
      </c>
      <c r="X147" s="12">
        <v>1</v>
      </c>
      <c r="Y147" s="12">
        <v>1</v>
      </c>
      <c r="Z147" s="12">
        <v>1</v>
      </c>
      <c r="AA147" s="12">
        <v>1</v>
      </c>
      <c r="AB147" s="12">
        <v>1</v>
      </c>
      <c r="AC147" s="12">
        <v>1</v>
      </c>
      <c r="AD147" s="15">
        <f t="shared" si="2"/>
        <v>8</v>
      </c>
      <c r="AE147" s="15">
        <f t="shared" si="3"/>
        <v>100</v>
      </c>
      <c r="AF147" s="14">
        <v>5</v>
      </c>
      <c r="AG147" s="14">
        <v>5</v>
      </c>
      <c r="AH147" s="14">
        <v>4</v>
      </c>
      <c r="AI147" s="14">
        <v>5</v>
      </c>
      <c r="AJ147" s="14">
        <v>5</v>
      </c>
      <c r="AK147" s="14">
        <v>5</v>
      </c>
      <c r="AL147" s="14">
        <v>5</v>
      </c>
      <c r="AM147" s="14">
        <v>5</v>
      </c>
      <c r="AN147" s="14">
        <v>5</v>
      </c>
      <c r="AO147" s="17">
        <f t="shared" si="4"/>
        <v>44</v>
      </c>
      <c r="AP147" s="17">
        <f t="shared" si="5"/>
        <v>97.777777777777771</v>
      </c>
      <c r="AQ147" s="16">
        <v>4</v>
      </c>
      <c r="AR147" s="16">
        <v>4</v>
      </c>
      <c r="AS147" s="16">
        <v>4</v>
      </c>
      <c r="AT147" s="16">
        <v>4</v>
      </c>
      <c r="AU147" s="16">
        <v>1</v>
      </c>
      <c r="AV147" s="16">
        <v>2</v>
      </c>
      <c r="AW147" s="16">
        <v>2</v>
      </c>
      <c r="AX147" s="16">
        <v>3</v>
      </c>
      <c r="AY147" s="16">
        <v>1</v>
      </c>
      <c r="AZ147" s="16">
        <v>4</v>
      </c>
      <c r="BA147" s="18">
        <f t="shared" si="6"/>
        <v>29</v>
      </c>
      <c r="BB147" s="18">
        <f t="shared" si="7"/>
        <v>57.999999999999993</v>
      </c>
    </row>
    <row r="148" spans="1:54" ht="22.5" customHeight="1" x14ac:dyDescent="0.2">
      <c r="A148" s="9" t="s">
        <v>93</v>
      </c>
      <c r="B148" s="9" t="s">
        <v>68</v>
      </c>
      <c r="C148" s="9" t="s">
        <v>55</v>
      </c>
      <c r="D148" s="1" t="s">
        <v>57</v>
      </c>
      <c r="E148" s="9" t="s">
        <v>85</v>
      </c>
      <c r="F148" s="9" t="s">
        <v>92</v>
      </c>
      <c r="G148" s="9" t="s">
        <v>61</v>
      </c>
      <c r="H148" s="9" t="s">
        <v>99</v>
      </c>
      <c r="I148" s="9" t="s">
        <v>81</v>
      </c>
      <c r="J148" s="11">
        <v>0</v>
      </c>
      <c r="K148" s="11">
        <v>0</v>
      </c>
      <c r="L148" s="11">
        <v>0</v>
      </c>
      <c r="M148" s="11">
        <v>0</v>
      </c>
      <c r="N148" s="11">
        <v>0.5</v>
      </c>
      <c r="O148" s="11">
        <v>0</v>
      </c>
      <c r="P148" s="11">
        <v>0</v>
      </c>
      <c r="Q148" s="11">
        <v>0</v>
      </c>
      <c r="R148" s="11">
        <v>0</v>
      </c>
      <c r="S148" s="11">
        <v>0.5</v>
      </c>
      <c r="T148" s="13">
        <f t="shared" si="0"/>
        <v>1</v>
      </c>
      <c r="U148" s="13">
        <f t="shared" si="1"/>
        <v>5.5555555555555554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5">
        <f t="shared" si="2"/>
        <v>0</v>
      </c>
      <c r="AE148" s="15">
        <f t="shared" si="3"/>
        <v>0</v>
      </c>
      <c r="AF148" s="14">
        <v>4</v>
      </c>
      <c r="AG148" s="14">
        <v>3</v>
      </c>
      <c r="AH148" s="14">
        <v>4</v>
      </c>
      <c r="AI148" s="14">
        <v>4</v>
      </c>
      <c r="AJ148" s="14">
        <v>3</v>
      </c>
      <c r="AK148" s="14">
        <v>4</v>
      </c>
      <c r="AL148" s="14">
        <v>4</v>
      </c>
      <c r="AM148" s="14">
        <v>4</v>
      </c>
      <c r="AN148" s="14">
        <v>4</v>
      </c>
      <c r="AO148" s="17">
        <f t="shared" si="4"/>
        <v>34</v>
      </c>
      <c r="AP148" s="17">
        <f t="shared" si="5"/>
        <v>75.555555555555557</v>
      </c>
      <c r="AQ148" s="16">
        <v>4</v>
      </c>
      <c r="AR148" s="16">
        <v>3</v>
      </c>
      <c r="AS148" s="16">
        <v>3</v>
      </c>
      <c r="AT148" s="16">
        <v>3</v>
      </c>
      <c r="AU148" s="16">
        <v>5</v>
      </c>
      <c r="AV148" s="16">
        <v>3</v>
      </c>
      <c r="AW148" s="16">
        <v>3</v>
      </c>
      <c r="AX148" s="16">
        <v>4</v>
      </c>
      <c r="AY148" s="16">
        <v>1</v>
      </c>
      <c r="AZ148" s="16">
        <v>3</v>
      </c>
      <c r="BA148" s="18">
        <f t="shared" si="6"/>
        <v>32</v>
      </c>
      <c r="BB148" s="18">
        <f t="shared" si="7"/>
        <v>64</v>
      </c>
    </row>
    <row r="149" spans="1:54" ht="22.5" customHeight="1" x14ac:dyDescent="0.2">
      <c r="A149" s="9" t="s">
        <v>93</v>
      </c>
      <c r="B149" s="9" t="s">
        <v>54</v>
      </c>
      <c r="C149" s="9" t="s">
        <v>55</v>
      </c>
      <c r="D149" s="1" t="s">
        <v>100</v>
      </c>
      <c r="E149" s="9" t="s">
        <v>92</v>
      </c>
      <c r="F149" s="9" t="s">
        <v>92</v>
      </c>
      <c r="G149" s="9" t="s">
        <v>61</v>
      </c>
      <c r="H149" s="9" t="s">
        <v>99</v>
      </c>
      <c r="I149" s="9" t="s">
        <v>81</v>
      </c>
      <c r="J149" s="11">
        <v>0</v>
      </c>
      <c r="K149" s="11">
        <v>0</v>
      </c>
      <c r="L149" s="11">
        <v>3</v>
      </c>
      <c r="M149" s="11">
        <v>0.5</v>
      </c>
      <c r="N149" s="11">
        <v>0.5</v>
      </c>
      <c r="O149" s="11">
        <v>0</v>
      </c>
      <c r="P149" s="11">
        <v>2</v>
      </c>
      <c r="Q149" s="11">
        <v>0</v>
      </c>
      <c r="R149" s="11">
        <v>1</v>
      </c>
      <c r="S149" s="11">
        <v>1.5</v>
      </c>
      <c r="T149" s="13">
        <f t="shared" si="0"/>
        <v>8.5</v>
      </c>
      <c r="U149" s="13">
        <f t="shared" si="1"/>
        <v>47.222222222222221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5">
        <f t="shared" si="2"/>
        <v>0</v>
      </c>
      <c r="AE149" s="15">
        <f t="shared" si="3"/>
        <v>0</v>
      </c>
      <c r="AF149" s="14">
        <v>3</v>
      </c>
      <c r="AG149" s="14">
        <v>3</v>
      </c>
      <c r="AH149" s="14">
        <v>3</v>
      </c>
      <c r="AI149" s="14">
        <v>3</v>
      </c>
      <c r="AJ149" s="14">
        <v>4</v>
      </c>
      <c r="AK149" s="14">
        <v>3</v>
      </c>
      <c r="AL149" s="14">
        <v>3</v>
      </c>
      <c r="AM149" s="14">
        <v>4</v>
      </c>
      <c r="AN149" s="14">
        <v>4</v>
      </c>
      <c r="AO149" s="17">
        <f t="shared" si="4"/>
        <v>30</v>
      </c>
      <c r="AP149" s="17">
        <f t="shared" si="5"/>
        <v>66.666666666666657</v>
      </c>
      <c r="AQ149" s="16">
        <v>3</v>
      </c>
      <c r="AR149" s="16">
        <v>3</v>
      </c>
      <c r="AS149" s="16">
        <v>3</v>
      </c>
      <c r="AT149" s="16">
        <v>3</v>
      </c>
      <c r="AU149" s="16">
        <v>1</v>
      </c>
      <c r="AV149" s="16">
        <v>3</v>
      </c>
      <c r="AW149" s="16">
        <v>3</v>
      </c>
      <c r="AX149" s="16">
        <v>3</v>
      </c>
      <c r="AY149" s="16">
        <v>1</v>
      </c>
      <c r="AZ149" s="16">
        <v>4</v>
      </c>
      <c r="BA149" s="18">
        <f t="shared" si="6"/>
        <v>27</v>
      </c>
      <c r="BB149" s="18">
        <f t="shared" si="7"/>
        <v>54</v>
      </c>
    </row>
    <row r="150" spans="1:54" ht="22.5" customHeight="1" x14ac:dyDescent="0.2">
      <c r="A150" s="9" t="s">
        <v>93</v>
      </c>
      <c r="B150" s="9" t="s">
        <v>54</v>
      </c>
      <c r="C150" s="9" t="s">
        <v>55</v>
      </c>
      <c r="D150" s="1" t="s">
        <v>100</v>
      </c>
      <c r="E150" s="9" t="s">
        <v>85</v>
      </c>
      <c r="F150" s="9" t="s">
        <v>60</v>
      </c>
      <c r="G150" s="9" t="s">
        <v>61</v>
      </c>
      <c r="H150" s="9" t="s">
        <v>57</v>
      </c>
      <c r="I150" s="9" t="s">
        <v>81</v>
      </c>
      <c r="J150" s="11">
        <v>0</v>
      </c>
      <c r="K150" s="11">
        <v>0</v>
      </c>
      <c r="L150" s="11">
        <v>2</v>
      </c>
      <c r="M150" s="11">
        <v>0.5</v>
      </c>
      <c r="N150" s="11">
        <v>0.5</v>
      </c>
      <c r="O150" s="11">
        <v>1</v>
      </c>
      <c r="P150" s="11">
        <v>1.5</v>
      </c>
      <c r="Q150" s="11">
        <v>1</v>
      </c>
      <c r="R150" s="11">
        <v>1.5</v>
      </c>
      <c r="S150" s="11">
        <v>1.5</v>
      </c>
      <c r="T150" s="13">
        <f t="shared" si="0"/>
        <v>9.5</v>
      </c>
      <c r="U150" s="13">
        <f t="shared" si="1"/>
        <v>52.777777777777779</v>
      </c>
      <c r="V150" s="12">
        <v>1</v>
      </c>
      <c r="W150" s="12">
        <v>1</v>
      </c>
      <c r="X150" s="12">
        <v>1</v>
      </c>
      <c r="Y150" s="12">
        <v>1</v>
      </c>
      <c r="Z150" s="12">
        <v>1</v>
      </c>
      <c r="AA150" s="12">
        <v>1</v>
      </c>
      <c r="AB150" s="12">
        <v>1</v>
      </c>
      <c r="AC150" s="12">
        <v>1</v>
      </c>
      <c r="AD150" s="15">
        <f t="shared" si="2"/>
        <v>8</v>
      </c>
      <c r="AE150" s="15">
        <f t="shared" si="3"/>
        <v>100</v>
      </c>
      <c r="AF150" s="14">
        <v>5</v>
      </c>
      <c r="AG150" s="14">
        <v>5</v>
      </c>
      <c r="AH150" s="14">
        <v>5</v>
      </c>
      <c r="AI150" s="14">
        <v>5</v>
      </c>
      <c r="AJ150" s="14">
        <v>5</v>
      </c>
      <c r="AK150" s="14">
        <v>5</v>
      </c>
      <c r="AL150" s="14">
        <v>5</v>
      </c>
      <c r="AM150" s="14">
        <v>5</v>
      </c>
      <c r="AN150" s="14">
        <v>5</v>
      </c>
      <c r="AO150" s="17">
        <f t="shared" si="4"/>
        <v>45</v>
      </c>
      <c r="AP150" s="17">
        <f t="shared" si="5"/>
        <v>100</v>
      </c>
      <c r="AQ150" s="16">
        <v>3</v>
      </c>
      <c r="AR150" s="16">
        <v>3</v>
      </c>
      <c r="AS150" s="16">
        <v>3</v>
      </c>
      <c r="AT150" s="16">
        <v>3</v>
      </c>
      <c r="AU150" s="16">
        <v>5</v>
      </c>
      <c r="AV150" s="16">
        <v>4</v>
      </c>
      <c r="AW150" s="16">
        <v>5</v>
      </c>
      <c r="AX150" s="16">
        <v>5</v>
      </c>
      <c r="AY150" s="16">
        <v>5</v>
      </c>
      <c r="AZ150" s="16">
        <v>4</v>
      </c>
      <c r="BA150" s="18">
        <f t="shared" si="6"/>
        <v>40</v>
      </c>
      <c r="BB150" s="18">
        <f t="shared" si="7"/>
        <v>80</v>
      </c>
    </row>
    <row r="151" spans="1:54" ht="22.5" customHeight="1" x14ac:dyDescent="0.2">
      <c r="A151" s="9" t="s">
        <v>93</v>
      </c>
      <c r="B151" s="9" t="s">
        <v>54</v>
      </c>
      <c r="C151" s="9" t="s">
        <v>69</v>
      </c>
      <c r="D151" s="1" t="s">
        <v>57</v>
      </c>
      <c r="E151" s="9" t="s">
        <v>59</v>
      </c>
      <c r="F151" s="9" t="s">
        <v>59</v>
      </c>
      <c r="G151" s="9" t="s">
        <v>76</v>
      </c>
      <c r="H151" s="9" t="s">
        <v>57</v>
      </c>
      <c r="I151" s="9" t="s">
        <v>72</v>
      </c>
      <c r="J151" s="11">
        <v>1</v>
      </c>
      <c r="K151" s="11">
        <v>1</v>
      </c>
      <c r="L151" s="11">
        <v>1</v>
      </c>
      <c r="M151" s="11">
        <v>1</v>
      </c>
      <c r="N151" s="11">
        <v>1</v>
      </c>
      <c r="O151" s="11">
        <v>1</v>
      </c>
      <c r="P151" s="11">
        <v>1.5</v>
      </c>
      <c r="Q151" s="11">
        <v>1</v>
      </c>
      <c r="R151" s="11">
        <v>1</v>
      </c>
      <c r="S151" s="11">
        <v>2</v>
      </c>
      <c r="T151" s="13">
        <f t="shared" si="0"/>
        <v>11.5</v>
      </c>
      <c r="U151" s="13">
        <f t="shared" si="1"/>
        <v>63.888888888888886</v>
      </c>
      <c r="V151" s="12">
        <v>1</v>
      </c>
      <c r="W151" s="12">
        <v>1</v>
      </c>
      <c r="X151" s="12">
        <v>1</v>
      </c>
      <c r="Y151" s="12">
        <v>1</v>
      </c>
      <c r="Z151" s="12">
        <v>1</v>
      </c>
      <c r="AA151" s="12">
        <v>1</v>
      </c>
      <c r="AB151" s="12">
        <v>1</v>
      </c>
      <c r="AC151" s="12">
        <v>1</v>
      </c>
      <c r="AD151" s="15">
        <f t="shared" si="2"/>
        <v>8</v>
      </c>
      <c r="AE151" s="15">
        <f t="shared" si="3"/>
        <v>100</v>
      </c>
      <c r="AF151" s="14">
        <v>4</v>
      </c>
      <c r="AG151" s="14">
        <v>4</v>
      </c>
      <c r="AH151" s="14">
        <v>4</v>
      </c>
      <c r="AI151" s="14">
        <v>4</v>
      </c>
      <c r="AJ151" s="14">
        <v>4</v>
      </c>
      <c r="AK151" s="14">
        <v>4</v>
      </c>
      <c r="AL151" s="14">
        <v>4</v>
      </c>
      <c r="AM151" s="14">
        <v>3</v>
      </c>
      <c r="AN151" s="14">
        <v>4</v>
      </c>
      <c r="AO151" s="17">
        <f t="shared" si="4"/>
        <v>35</v>
      </c>
      <c r="AP151" s="17">
        <f t="shared" si="5"/>
        <v>77.777777777777786</v>
      </c>
      <c r="AQ151" s="16">
        <v>3</v>
      </c>
      <c r="AR151" s="16">
        <v>4</v>
      </c>
      <c r="AS151" s="16">
        <v>4</v>
      </c>
      <c r="AT151" s="16">
        <v>4</v>
      </c>
      <c r="AU151" s="16">
        <v>5</v>
      </c>
      <c r="AV151" s="16">
        <v>4</v>
      </c>
      <c r="AW151" s="16">
        <v>4</v>
      </c>
      <c r="AX151" s="16">
        <v>4</v>
      </c>
      <c r="AY151" s="16">
        <v>5</v>
      </c>
      <c r="AZ151" s="16">
        <v>4</v>
      </c>
      <c r="BA151" s="18">
        <f t="shared" si="6"/>
        <v>41</v>
      </c>
      <c r="BB151" s="18">
        <f t="shared" si="7"/>
        <v>82</v>
      </c>
    </row>
    <row r="152" spans="1:54" ht="22.5" customHeight="1" x14ac:dyDescent="0.2">
      <c r="A152" s="9" t="s">
        <v>93</v>
      </c>
      <c r="B152" s="9" t="s">
        <v>54</v>
      </c>
      <c r="C152" s="9" t="s">
        <v>55</v>
      </c>
      <c r="D152" s="1" t="s">
        <v>70</v>
      </c>
      <c r="E152" s="9" t="s">
        <v>71</v>
      </c>
      <c r="F152" s="9" t="s">
        <v>71</v>
      </c>
      <c r="G152" s="9" t="s">
        <v>95</v>
      </c>
      <c r="H152" s="9" t="s">
        <v>97</v>
      </c>
      <c r="I152" s="9" t="s">
        <v>81</v>
      </c>
      <c r="J152" s="11">
        <v>1</v>
      </c>
      <c r="K152" s="11">
        <v>1</v>
      </c>
      <c r="L152" s="11">
        <v>3</v>
      </c>
      <c r="M152" s="11">
        <v>1</v>
      </c>
      <c r="N152" s="11">
        <v>1</v>
      </c>
      <c r="O152" s="11">
        <v>1</v>
      </c>
      <c r="P152" s="11">
        <v>0.5</v>
      </c>
      <c r="Q152" s="11">
        <v>1</v>
      </c>
      <c r="R152" s="11">
        <v>1.5</v>
      </c>
      <c r="S152" s="11">
        <v>2</v>
      </c>
      <c r="T152" s="13">
        <f t="shared" si="0"/>
        <v>13</v>
      </c>
      <c r="U152" s="13">
        <f t="shared" si="1"/>
        <v>72.222222222222214</v>
      </c>
      <c r="V152" s="12">
        <v>1</v>
      </c>
      <c r="W152" s="12">
        <v>1</v>
      </c>
      <c r="X152" s="12">
        <v>1</v>
      </c>
      <c r="Y152" s="12">
        <v>1</v>
      </c>
      <c r="Z152" s="12">
        <v>1</v>
      </c>
      <c r="AA152" s="12">
        <v>1</v>
      </c>
      <c r="AB152" s="12">
        <v>1</v>
      </c>
      <c r="AC152" s="12">
        <v>1</v>
      </c>
      <c r="AD152" s="15">
        <f t="shared" si="2"/>
        <v>8</v>
      </c>
      <c r="AE152" s="15">
        <f t="shared" si="3"/>
        <v>100</v>
      </c>
      <c r="AF152" s="14">
        <v>3</v>
      </c>
      <c r="AG152" s="14">
        <v>3</v>
      </c>
      <c r="AH152" s="14">
        <v>4</v>
      </c>
      <c r="AI152" s="14">
        <v>3</v>
      </c>
      <c r="AJ152" s="14">
        <v>3</v>
      </c>
      <c r="AK152" s="14">
        <v>3</v>
      </c>
      <c r="AL152" s="14">
        <v>4</v>
      </c>
      <c r="AM152" s="14">
        <v>4</v>
      </c>
      <c r="AN152" s="14">
        <v>4</v>
      </c>
      <c r="AO152" s="17">
        <f t="shared" si="4"/>
        <v>31</v>
      </c>
      <c r="AP152" s="17">
        <f t="shared" si="5"/>
        <v>68.888888888888886</v>
      </c>
      <c r="AQ152" s="16">
        <v>2</v>
      </c>
      <c r="AR152" s="16">
        <v>3</v>
      </c>
      <c r="AS152" s="16">
        <v>3</v>
      </c>
      <c r="AT152" s="16">
        <v>3</v>
      </c>
      <c r="AU152" s="16">
        <v>5</v>
      </c>
      <c r="AV152" s="16">
        <v>3</v>
      </c>
      <c r="AW152" s="16">
        <v>3</v>
      </c>
      <c r="AX152" s="16">
        <v>3</v>
      </c>
      <c r="AY152" s="16">
        <v>5</v>
      </c>
      <c r="AZ152" s="16">
        <v>2</v>
      </c>
      <c r="BA152" s="18">
        <f t="shared" si="6"/>
        <v>32</v>
      </c>
      <c r="BB152" s="18">
        <f t="shared" si="7"/>
        <v>64</v>
      </c>
    </row>
    <row r="153" spans="1:54" ht="22.5" customHeight="1" x14ac:dyDescent="0.2">
      <c r="A153" s="9" t="s">
        <v>93</v>
      </c>
      <c r="B153" s="9" t="s">
        <v>54</v>
      </c>
      <c r="C153" s="9" t="s">
        <v>69</v>
      </c>
      <c r="D153" s="1" t="s">
        <v>57</v>
      </c>
      <c r="E153" s="9" t="s">
        <v>71</v>
      </c>
      <c r="F153" s="9" t="s">
        <v>71</v>
      </c>
      <c r="G153" s="9" t="s">
        <v>76</v>
      </c>
      <c r="H153" s="9" t="s">
        <v>99</v>
      </c>
      <c r="I153" s="9" t="s">
        <v>72</v>
      </c>
      <c r="J153" s="11">
        <v>1</v>
      </c>
      <c r="K153" s="11">
        <v>1</v>
      </c>
      <c r="L153" s="11">
        <v>2</v>
      </c>
      <c r="M153" s="11">
        <v>0</v>
      </c>
      <c r="N153" s="11">
        <v>1</v>
      </c>
      <c r="O153" s="11">
        <v>1</v>
      </c>
      <c r="P153" s="11">
        <v>2</v>
      </c>
      <c r="Q153" s="11">
        <v>1</v>
      </c>
      <c r="R153" s="11">
        <v>1</v>
      </c>
      <c r="S153" s="11">
        <v>2</v>
      </c>
      <c r="T153" s="13">
        <f t="shared" si="0"/>
        <v>12</v>
      </c>
      <c r="U153" s="13">
        <f t="shared" si="1"/>
        <v>66.666666666666657</v>
      </c>
      <c r="V153" s="12">
        <v>1</v>
      </c>
      <c r="W153" s="12">
        <v>1</v>
      </c>
      <c r="X153" s="12">
        <v>1</v>
      </c>
      <c r="Y153" s="12">
        <v>1</v>
      </c>
      <c r="Z153" s="12">
        <v>1</v>
      </c>
      <c r="AA153" s="12">
        <v>1</v>
      </c>
      <c r="AB153" s="12">
        <v>1</v>
      </c>
      <c r="AC153" s="12">
        <v>1</v>
      </c>
      <c r="AD153" s="15">
        <f t="shared" si="2"/>
        <v>8</v>
      </c>
      <c r="AE153" s="15">
        <f t="shared" si="3"/>
        <v>100</v>
      </c>
      <c r="AF153" s="14">
        <v>4</v>
      </c>
      <c r="AG153" s="14">
        <v>4</v>
      </c>
      <c r="AH153" s="14">
        <v>4</v>
      </c>
      <c r="AI153" s="14">
        <v>4</v>
      </c>
      <c r="AJ153" s="14">
        <v>4</v>
      </c>
      <c r="AK153" s="14">
        <v>4</v>
      </c>
      <c r="AL153" s="14">
        <v>4</v>
      </c>
      <c r="AM153" s="14">
        <v>4</v>
      </c>
      <c r="AN153" s="14">
        <v>4</v>
      </c>
      <c r="AO153" s="17">
        <f t="shared" si="4"/>
        <v>36</v>
      </c>
      <c r="AP153" s="17">
        <f t="shared" si="5"/>
        <v>80</v>
      </c>
      <c r="AQ153" s="16">
        <v>3</v>
      </c>
      <c r="AR153" s="16">
        <v>3</v>
      </c>
      <c r="AS153" s="16">
        <v>4</v>
      </c>
      <c r="AT153" s="16">
        <v>3</v>
      </c>
      <c r="AU153" s="16">
        <v>5</v>
      </c>
      <c r="AV153" s="16">
        <v>4</v>
      </c>
      <c r="AW153" s="16">
        <v>3</v>
      </c>
      <c r="AX153" s="16">
        <v>3</v>
      </c>
      <c r="AY153" s="16">
        <v>5</v>
      </c>
      <c r="AZ153" s="16">
        <v>3</v>
      </c>
      <c r="BA153" s="18">
        <f t="shared" si="6"/>
        <v>36</v>
      </c>
      <c r="BB153" s="18">
        <f t="shared" si="7"/>
        <v>72</v>
      </c>
    </row>
    <row r="154" spans="1:54" ht="22.5" customHeight="1" x14ac:dyDescent="0.2">
      <c r="A154" s="9" t="s">
        <v>52</v>
      </c>
      <c r="B154" s="9" t="s">
        <v>54</v>
      </c>
      <c r="C154" s="9" t="s">
        <v>55</v>
      </c>
      <c r="D154" s="1" t="s">
        <v>57</v>
      </c>
      <c r="E154" s="9" t="s">
        <v>71</v>
      </c>
      <c r="F154" s="9" t="s">
        <v>85</v>
      </c>
      <c r="G154" s="9" t="s">
        <v>61</v>
      </c>
      <c r="H154" s="9" t="s">
        <v>101</v>
      </c>
      <c r="I154" s="9" t="s">
        <v>62</v>
      </c>
      <c r="J154" s="11">
        <v>1</v>
      </c>
      <c r="K154" s="11">
        <v>1</v>
      </c>
      <c r="L154" s="11">
        <v>2</v>
      </c>
      <c r="M154" s="11">
        <v>0.5</v>
      </c>
      <c r="N154" s="11">
        <v>1.5</v>
      </c>
      <c r="O154" s="11">
        <v>1</v>
      </c>
      <c r="P154" s="11">
        <v>1</v>
      </c>
      <c r="Q154" s="11">
        <v>1</v>
      </c>
      <c r="R154" s="11">
        <v>0.5</v>
      </c>
      <c r="S154" s="11">
        <v>1.5</v>
      </c>
      <c r="T154" s="13">
        <f t="shared" si="0"/>
        <v>11</v>
      </c>
      <c r="U154" s="13">
        <f t="shared" si="1"/>
        <v>61.111111111111114</v>
      </c>
      <c r="V154" s="12">
        <v>0</v>
      </c>
      <c r="W154" s="12">
        <v>1</v>
      </c>
      <c r="X154" s="12">
        <v>1</v>
      </c>
      <c r="Y154" s="12">
        <v>0</v>
      </c>
      <c r="Z154" s="12">
        <v>1</v>
      </c>
      <c r="AA154" s="12">
        <v>1</v>
      </c>
      <c r="AB154" s="12">
        <v>1</v>
      </c>
      <c r="AC154" s="12">
        <v>1</v>
      </c>
      <c r="AD154" s="15">
        <f t="shared" si="2"/>
        <v>6</v>
      </c>
      <c r="AE154" s="15">
        <f t="shared" si="3"/>
        <v>75</v>
      </c>
      <c r="AF154" s="14">
        <v>5</v>
      </c>
      <c r="AG154" s="14">
        <v>5</v>
      </c>
      <c r="AH154" s="14">
        <v>5</v>
      </c>
      <c r="AI154" s="14">
        <v>5</v>
      </c>
      <c r="AJ154" s="14">
        <v>5</v>
      </c>
      <c r="AK154" s="14">
        <v>5</v>
      </c>
      <c r="AL154" s="14">
        <v>5</v>
      </c>
      <c r="AM154" s="14">
        <v>5</v>
      </c>
      <c r="AN154" s="14">
        <v>5</v>
      </c>
      <c r="AO154" s="17">
        <f t="shared" si="4"/>
        <v>45</v>
      </c>
      <c r="AP154" s="17">
        <f t="shared" si="5"/>
        <v>100</v>
      </c>
      <c r="AQ154" s="16">
        <v>4</v>
      </c>
      <c r="AR154" s="16">
        <v>4</v>
      </c>
      <c r="AS154" s="16">
        <v>3</v>
      </c>
      <c r="AT154" s="16">
        <v>5</v>
      </c>
      <c r="AU154" s="16">
        <v>5</v>
      </c>
      <c r="AV154" s="16">
        <v>3</v>
      </c>
      <c r="AW154" s="16">
        <v>3</v>
      </c>
      <c r="AX154" s="16">
        <v>5</v>
      </c>
      <c r="AY154" s="16">
        <v>5</v>
      </c>
      <c r="AZ154" s="16">
        <v>4</v>
      </c>
      <c r="BA154" s="18">
        <f t="shared" si="6"/>
        <v>41</v>
      </c>
      <c r="BB154" s="18">
        <f t="shared" si="7"/>
        <v>82</v>
      </c>
    </row>
    <row r="155" spans="1:54" ht="22.5" customHeight="1" x14ac:dyDescent="0.2">
      <c r="A155" s="9" t="s">
        <v>74</v>
      </c>
      <c r="B155" s="9" t="s">
        <v>68</v>
      </c>
      <c r="C155" s="9" t="s">
        <v>55</v>
      </c>
      <c r="D155" s="1" t="s">
        <v>57</v>
      </c>
      <c r="E155" s="9" t="s">
        <v>60</v>
      </c>
      <c r="F155" s="9" t="s">
        <v>71</v>
      </c>
      <c r="G155" s="9" t="s">
        <v>95</v>
      </c>
      <c r="H155" s="9" t="s">
        <v>86</v>
      </c>
      <c r="I155" s="9" t="s">
        <v>72</v>
      </c>
      <c r="J155" s="11">
        <v>1</v>
      </c>
      <c r="K155" s="11">
        <v>1</v>
      </c>
      <c r="L155" s="11">
        <v>1</v>
      </c>
      <c r="M155" s="11">
        <v>0.5</v>
      </c>
      <c r="N155" s="11">
        <v>1.5</v>
      </c>
      <c r="O155" s="11">
        <v>1</v>
      </c>
      <c r="P155" s="11">
        <v>1.5</v>
      </c>
      <c r="Q155" s="11">
        <v>1</v>
      </c>
      <c r="R155" s="11">
        <v>1.5</v>
      </c>
      <c r="S155" s="11">
        <v>1.5</v>
      </c>
      <c r="T155" s="13">
        <f t="shared" si="0"/>
        <v>11.5</v>
      </c>
      <c r="U155" s="13">
        <f t="shared" si="1"/>
        <v>63.888888888888886</v>
      </c>
      <c r="V155" s="12">
        <v>1</v>
      </c>
      <c r="W155" s="12">
        <v>1</v>
      </c>
      <c r="X155" s="12">
        <v>0</v>
      </c>
      <c r="Y155" s="12">
        <v>0</v>
      </c>
      <c r="Z155" s="12">
        <v>1</v>
      </c>
      <c r="AA155" s="12">
        <v>0</v>
      </c>
      <c r="AB155" s="12">
        <v>1</v>
      </c>
      <c r="AC155" s="12">
        <v>1</v>
      </c>
      <c r="AD155" s="15">
        <f t="shared" si="2"/>
        <v>5</v>
      </c>
      <c r="AE155" s="15">
        <f t="shared" si="3"/>
        <v>62.5</v>
      </c>
      <c r="AF155" s="14">
        <v>3</v>
      </c>
      <c r="AG155" s="14">
        <v>5</v>
      </c>
      <c r="AH155" s="14">
        <v>4</v>
      </c>
      <c r="AI155" s="14">
        <v>4</v>
      </c>
      <c r="AJ155" s="14">
        <v>5</v>
      </c>
      <c r="AK155" s="14">
        <v>4</v>
      </c>
      <c r="AL155" s="14">
        <v>4</v>
      </c>
      <c r="AM155" s="14">
        <v>5</v>
      </c>
      <c r="AN155" s="14">
        <v>4</v>
      </c>
      <c r="AO155" s="17">
        <f t="shared" si="4"/>
        <v>38</v>
      </c>
      <c r="AP155" s="17">
        <f t="shared" si="5"/>
        <v>84.444444444444443</v>
      </c>
      <c r="AQ155" s="16">
        <v>3</v>
      </c>
      <c r="AR155" s="16">
        <v>4</v>
      </c>
      <c r="AS155" s="16">
        <v>2</v>
      </c>
      <c r="AT155" s="16">
        <v>4</v>
      </c>
      <c r="AU155" s="16">
        <v>5</v>
      </c>
      <c r="AV155" s="16">
        <v>4</v>
      </c>
      <c r="AW155" s="16">
        <v>5</v>
      </c>
      <c r="AX155" s="16">
        <v>3</v>
      </c>
      <c r="AY155" s="16">
        <v>5</v>
      </c>
      <c r="AZ155" s="16">
        <v>4</v>
      </c>
      <c r="BA155" s="18">
        <f t="shared" si="6"/>
        <v>39</v>
      </c>
      <c r="BB155" s="18">
        <f t="shared" si="7"/>
        <v>78</v>
      </c>
    </row>
    <row r="156" spans="1:54" ht="22.5" customHeight="1" x14ac:dyDescent="0.2">
      <c r="A156" s="9" t="s">
        <v>67</v>
      </c>
      <c r="B156" s="9" t="s">
        <v>54</v>
      </c>
      <c r="C156" s="9" t="s">
        <v>69</v>
      </c>
      <c r="D156" s="1" t="s">
        <v>57</v>
      </c>
      <c r="E156" s="9" t="s">
        <v>71</v>
      </c>
      <c r="F156" s="9" t="s">
        <v>60</v>
      </c>
      <c r="G156" s="9" t="s">
        <v>76</v>
      </c>
      <c r="H156" s="9" t="s">
        <v>57</v>
      </c>
      <c r="I156" s="9" t="s">
        <v>96</v>
      </c>
      <c r="J156" s="11">
        <v>1</v>
      </c>
      <c r="K156" s="11">
        <v>1</v>
      </c>
      <c r="L156" s="11">
        <v>1</v>
      </c>
      <c r="M156" s="11">
        <v>1</v>
      </c>
      <c r="N156" s="11">
        <v>1.5</v>
      </c>
      <c r="O156" s="11">
        <v>1</v>
      </c>
      <c r="P156" s="11">
        <v>1.5</v>
      </c>
      <c r="Q156" s="11">
        <v>1</v>
      </c>
      <c r="R156" s="11">
        <v>1.5</v>
      </c>
      <c r="S156" s="11">
        <v>1</v>
      </c>
      <c r="T156" s="13">
        <f t="shared" si="0"/>
        <v>11.5</v>
      </c>
      <c r="U156" s="13">
        <f t="shared" si="1"/>
        <v>63.888888888888886</v>
      </c>
      <c r="V156" s="12">
        <v>1</v>
      </c>
      <c r="W156" s="12">
        <v>1</v>
      </c>
      <c r="X156" s="12">
        <v>1</v>
      </c>
      <c r="Y156" s="12">
        <v>1</v>
      </c>
      <c r="Z156" s="12">
        <v>1</v>
      </c>
      <c r="AA156" s="12">
        <v>0</v>
      </c>
      <c r="AB156" s="12">
        <v>1</v>
      </c>
      <c r="AC156" s="12">
        <v>1</v>
      </c>
      <c r="AD156" s="15">
        <f t="shared" si="2"/>
        <v>7</v>
      </c>
      <c r="AE156" s="15">
        <f t="shared" si="3"/>
        <v>87.5</v>
      </c>
      <c r="AF156" s="14">
        <v>4</v>
      </c>
      <c r="AG156" s="14">
        <v>4</v>
      </c>
      <c r="AH156" s="14">
        <v>4</v>
      </c>
      <c r="AI156" s="14">
        <v>5</v>
      </c>
      <c r="AJ156" s="14">
        <v>4</v>
      </c>
      <c r="AK156" s="14">
        <v>4</v>
      </c>
      <c r="AL156" s="14">
        <v>5</v>
      </c>
      <c r="AM156" s="14">
        <v>4</v>
      </c>
      <c r="AN156" s="14">
        <v>5</v>
      </c>
      <c r="AO156" s="17">
        <f t="shared" si="4"/>
        <v>39</v>
      </c>
      <c r="AP156" s="17">
        <f t="shared" si="5"/>
        <v>86.666666666666671</v>
      </c>
      <c r="AQ156" s="16">
        <v>5</v>
      </c>
      <c r="AR156" s="16">
        <v>4</v>
      </c>
      <c r="AS156" s="16">
        <v>3</v>
      </c>
      <c r="AT156" s="16">
        <v>3</v>
      </c>
      <c r="AU156" s="16">
        <v>5</v>
      </c>
      <c r="AV156" s="16">
        <v>2</v>
      </c>
      <c r="AW156" s="16">
        <v>5</v>
      </c>
      <c r="AX156" s="16">
        <v>4</v>
      </c>
      <c r="AY156" s="16">
        <v>5</v>
      </c>
      <c r="AZ156" s="16">
        <v>4</v>
      </c>
      <c r="BA156" s="18">
        <f t="shared" si="6"/>
        <v>40</v>
      </c>
      <c r="BB156" s="18">
        <f t="shared" si="7"/>
        <v>80</v>
      </c>
    </row>
    <row r="157" spans="1:54" ht="22.5" customHeight="1" x14ac:dyDescent="0.2">
      <c r="A157" s="9" t="s">
        <v>52</v>
      </c>
      <c r="B157" s="9" t="s">
        <v>68</v>
      </c>
      <c r="C157" s="9" t="s">
        <v>69</v>
      </c>
      <c r="D157" s="1" t="s">
        <v>57</v>
      </c>
      <c r="E157" s="9" t="s">
        <v>85</v>
      </c>
      <c r="F157" s="9" t="s">
        <v>60</v>
      </c>
      <c r="G157" s="9" t="s">
        <v>95</v>
      </c>
      <c r="H157" s="9" t="s">
        <v>57</v>
      </c>
      <c r="I157" s="9" t="s">
        <v>62</v>
      </c>
      <c r="J157" s="11">
        <v>1</v>
      </c>
      <c r="K157" s="11">
        <v>1</v>
      </c>
      <c r="L157" s="11">
        <v>1</v>
      </c>
      <c r="M157" s="11">
        <v>1</v>
      </c>
      <c r="N157" s="11">
        <v>1</v>
      </c>
      <c r="O157" s="11">
        <v>1</v>
      </c>
      <c r="P157" s="11">
        <v>1.5</v>
      </c>
      <c r="Q157" s="11">
        <v>1</v>
      </c>
      <c r="R157" s="11">
        <v>1.5</v>
      </c>
      <c r="S157" s="11">
        <v>1.5</v>
      </c>
      <c r="T157" s="13">
        <f t="shared" si="0"/>
        <v>11.5</v>
      </c>
      <c r="U157" s="13">
        <f t="shared" si="1"/>
        <v>63.888888888888886</v>
      </c>
      <c r="V157" s="12">
        <v>1</v>
      </c>
      <c r="W157" s="12">
        <v>1</v>
      </c>
      <c r="X157" s="12">
        <v>1</v>
      </c>
      <c r="Y157" s="12">
        <v>1</v>
      </c>
      <c r="Z157" s="12">
        <v>1</v>
      </c>
      <c r="AA157" s="12">
        <v>1</v>
      </c>
      <c r="AB157" s="12">
        <v>1</v>
      </c>
      <c r="AC157" s="12">
        <v>1</v>
      </c>
      <c r="AD157" s="15">
        <f t="shared" si="2"/>
        <v>8</v>
      </c>
      <c r="AE157" s="15">
        <f t="shared" si="3"/>
        <v>100</v>
      </c>
      <c r="AF157" s="14">
        <v>4</v>
      </c>
      <c r="AG157" s="14">
        <v>4</v>
      </c>
      <c r="AH157" s="14">
        <v>4</v>
      </c>
      <c r="AI157" s="14">
        <v>5</v>
      </c>
      <c r="AJ157" s="14">
        <v>4</v>
      </c>
      <c r="AK157" s="14">
        <v>4</v>
      </c>
      <c r="AL157" s="14">
        <v>4</v>
      </c>
      <c r="AM157" s="14">
        <v>4</v>
      </c>
      <c r="AN157" s="14">
        <v>5</v>
      </c>
      <c r="AO157" s="17">
        <f t="shared" si="4"/>
        <v>38</v>
      </c>
      <c r="AP157" s="17">
        <f t="shared" si="5"/>
        <v>84.444444444444443</v>
      </c>
      <c r="AQ157" s="16">
        <v>4</v>
      </c>
      <c r="AR157" s="16">
        <v>3</v>
      </c>
      <c r="AS157" s="16">
        <v>5</v>
      </c>
      <c r="AT157" s="16">
        <v>5</v>
      </c>
      <c r="AU157" s="16">
        <v>5</v>
      </c>
      <c r="AV157" s="16">
        <v>3</v>
      </c>
      <c r="AW157" s="16">
        <v>4</v>
      </c>
      <c r="AX157" s="16">
        <v>5</v>
      </c>
      <c r="AY157" s="16">
        <v>5</v>
      </c>
      <c r="AZ157" s="16">
        <v>3</v>
      </c>
      <c r="BA157" s="18">
        <f t="shared" si="6"/>
        <v>42</v>
      </c>
      <c r="BB157" s="18">
        <f t="shared" si="7"/>
        <v>84</v>
      </c>
    </row>
    <row r="158" spans="1:54" ht="22.5" customHeight="1" x14ac:dyDescent="0.2">
      <c r="A158" s="9" t="s">
        <v>93</v>
      </c>
      <c r="B158" s="9" t="s">
        <v>54</v>
      </c>
      <c r="C158" s="9" t="s">
        <v>55</v>
      </c>
      <c r="D158" s="1" t="s">
        <v>75</v>
      </c>
      <c r="E158" s="9" t="s">
        <v>92</v>
      </c>
      <c r="F158" s="9" t="s">
        <v>92</v>
      </c>
      <c r="G158" s="9" t="s">
        <v>61</v>
      </c>
      <c r="H158" s="9" t="s">
        <v>57</v>
      </c>
      <c r="I158" s="9" t="s">
        <v>81</v>
      </c>
      <c r="J158" s="11">
        <v>0</v>
      </c>
      <c r="K158" s="11">
        <v>0</v>
      </c>
      <c r="L158" s="11">
        <v>1</v>
      </c>
      <c r="M158" s="11">
        <v>0.5</v>
      </c>
      <c r="N158" s="11">
        <v>0.5</v>
      </c>
      <c r="O158" s="11">
        <v>0</v>
      </c>
      <c r="P158" s="11">
        <v>0</v>
      </c>
      <c r="Q158" s="11">
        <v>0</v>
      </c>
      <c r="R158" s="11">
        <v>1</v>
      </c>
      <c r="S158" s="11">
        <v>0</v>
      </c>
      <c r="T158" s="13">
        <f t="shared" si="0"/>
        <v>3</v>
      </c>
      <c r="U158" s="13">
        <f t="shared" si="1"/>
        <v>16.666666666666664</v>
      </c>
      <c r="V158" s="12">
        <v>1</v>
      </c>
      <c r="W158" s="12">
        <v>1</v>
      </c>
      <c r="X158" s="12">
        <v>0</v>
      </c>
      <c r="Y158" s="12">
        <v>0</v>
      </c>
      <c r="Z158" s="12">
        <v>0</v>
      </c>
      <c r="AA158" s="12">
        <v>1</v>
      </c>
      <c r="AB158" s="12">
        <v>1</v>
      </c>
      <c r="AC158" s="12">
        <v>0</v>
      </c>
      <c r="AD158" s="15">
        <f t="shared" si="2"/>
        <v>4</v>
      </c>
      <c r="AE158" s="15">
        <f t="shared" si="3"/>
        <v>50</v>
      </c>
      <c r="AF158" s="14">
        <v>4</v>
      </c>
      <c r="AG158" s="14">
        <v>4</v>
      </c>
      <c r="AH158" s="14">
        <v>4</v>
      </c>
      <c r="AI158" s="14">
        <v>4</v>
      </c>
      <c r="AJ158" s="14">
        <v>4</v>
      </c>
      <c r="AK158" s="14">
        <v>4</v>
      </c>
      <c r="AL158" s="14">
        <v>4</v>
      </c>
      <c r="AM158" s="14">
        <v>4</v>
      </c>
      <c r="AN158" s="14">
        <v>4</v>
      </c>
      <c r="AO158" s="17">
        <f t="shared" si="4"/>
        <v>36</v>
      </c>
      <c r="AP158" s="17">
        <f t="shared" si="5"/>
        <v>80</v>
      </c>
      <c r="AQ158" s="16">
        <v>1</v>
      </c>
      <c r="AR158" s="16">
        <v>3</v>
      </c>
      <c r="AS158" s="16">
        <v>2</v>
      </c>
      <c r="AT158" s="16">
        <v>1</v>
      </c>
      <c r="AU158" s="16">
        <v>1</v>
      </c>
      <c r="AV158" s="16">
        <v>5</v>
      </c>
      <c r="AW158" s="16">
        <v>1</v>
      </c>
      <c r="AX158" s="16">
        <v>1</v>
      </c>
      <c r="AY158" s="16">
        <v>1</v>
      </c>
      <c r="AZ158" s="16">
        <v>1</v>
      </c>
      <c r="BA158" s="18">
        <f t="shared" si="6"/>
        <v>17</v>
      </c>
      <c r="BB158" s="18">
        <f t="shared" si="7"/>
        <v>34</v>
      </c>
    </row>
    <row r="159" spans="1:54" ht="22.5" customHeight="1" x14ac:dyDescent="0.2">
      <c r="A159" s="9" t="s">
        <v>52</v>
      </c>
      <c r="B159" s="9" t="s">
        <v>54</v>
      </c>
      <c r="C159" s="9" t="s">
        <v>55</v>
      </c>
      <c r="D159" s="1" t="s">
        <v>100</v>
      </c>
      <c r="E159" s="9" t="s">
        <v>92</v>
      </c>
      <c r="F159" s="9" t="s">
        <v>92</v>
      </c>
      <c r="G159" s="9" t="s">
        <v>61</v>
      </c>
      <c r="H159" s="9" t="s">
        <v>57</v>
      </c>
      <c r="I159" s="9" t="s">
        <v>62</v>
      </c>
      <c r="J159" s="11">
        <v>0</v>
      </c>
      <c r="K159" s="11">
        <v>0</v>
      </c>
      <c r="L159" s="11">
        <v>0</v>
      </c>
      <c r="M159" s="11">
        <v>0.5</v>
      </c>
      <c r="N159" s="11">
        <v>0.5</v>
      </c>
      <c r="O159" s="11">
        <v>0</v>
      </c>
      <c r="P159" s="11">
        <v>1</v>
      </c>
      <c r="Q159" s="11">
        <v>0</v>
      </c>
      <c r="R159" s="11">
        <v>1</v>
      </c>
      <c r="S159" s="11">
        <v>0</v>
      </c>
      <c r="T159" s="13">
        <f t="shared" si="0"/>
        <v>3</v>
      </c>
      <c r="U159" s="13">
        <f t="shared" si="1"/>
        <v>16.666666666666664</v>
      </c>
      <c r="V159" s="12">
        <v>1</v>
      </c>
      <c r="W159" s="12">
        <v>1</v>
      </c>
      <c r="X159" s="12">
        <v>0</v>
      </c>
      <c r="Y159" s="12">
        <v>0</v>
      </c>
      <c r="Z159" s="12">
        <v>0</v>
      </c>
      <c r="AA159" s="12">
        <v>0</v>
      </c>
      <c r="AB159" s="12">
        <v>1</v>
      </c>
      <c r="AC159" s="12">
        <v>0</v>
      </c>
      <c r="AD159" s="15">
        <f t="shared" si="2"/>
        <v>3</v>
      </c>
      <c r="AE159" s="15">
        <f t="shared" si="3"/>
        <v>37.5</v>
      </c>
      <c r="AF159" s="14">
        <v>4</v>
      </c>
      <c r="AG159" s="14">
        <v>4</v>
      </c>
      <c r="AH159" s="14">
        <v>3</v>
      </c>
      <c r="AI159" s="14">
        <v>4</v>
      </c>
      <c r="AJ159" s="14">
        <v>4</v>
      </c>
      <c r="AK159" s="14">
        <v>4</v>
      </c>
      <c r="AL159" s="14">
        <v>4</v>
      </c>
      <c r="AM159" s="14">
        <v>4</v>
      </c>
      <c r="AN159" s="14">
        <v>4</v>
      </c>
      <c r="AO159" s="17">
        <f t="shared" si="4"/>
        <v>35</v>
      </c>
      <c r="AP159" s="17">
        <f t="shared" si="5"/>
        <v>77.777777777777786</v>
      </c>
      <c r="AQ159" s="16">
        <v>1</v>
      </c>
      <c r="AR159" s="16">
        <v>3</v>
      </c>
      <c r="AS159" s="16">
        <v>2</v>
      </c>
      <c r="AT159" s="16">
        <v>1</v>
      </c>
      <c r="AU159" s="16">
        <v>1</v>
      </c>
      <c r="AV159" s="16">
        <v>5</v>
      </c>
      <c r="AW159" s="16">
        <v>1</v>
      </c>
      <c r="AX159" s="16">
        <v>1</v>
      </c>
      <c r="AY159" s="16">
        <v>1</v>
      </c>
      <c r="AZ159" s="16">
        <v>3</v>
      </c>
      <c r="BA159" s="18">
        <f t="shared" si="6"/>
        <v>19</v>
      </c>
      <c r="BB159" s="18">
        <f t="shared" si="7"/>
        <v>38</v>
      </c>
    </row>
    <row r="160" spans="1:54" ht="22.5" customHeight="1" x14ac:dyDescent="0.2">
      <c r="A160" s="9" t="s">
        <v>93</v>
      </c>
      <c r="B160" s="9" t="s">
        <v>54</v>
      </c>
      <c r="C160" s="9" t="s">
        <v>69</v>
      </c>
      <c r="D160" s="1" t="s">
        <v>57</v>
      </c>
      <c r="E160" s="9" t="s">
        <v>85</v>
      </c>
      <c r="F160" s="9" t="s">
        <v>60</v>
      </c>
      <c r="G160" s="9" t="s">
        <v>95</v>
      </c>
      <c r="H160" s="9" t="s">
        <v>99</v>
      </c>
      <c r="I160" s="9" t="s">
        <v>72</v>
      </c>
      <c r="J160" s="11">
        <v>0</v>
      </c>
      <c r="K160" s="11">
        <v>1</v>
      </c>
      <c r="L160" s="11">
        <v>0</v>
      </c>
      <c r="M160" s="11">
        <v>0.5</v>
      </c>
      <c r="N160" s="11">
        <v>0.5</v>
      </c>
      <c r="O160" s="11">
        <v>0</v>
      </c>
      <c r="P160" s="11">
        <v>0.5</v>
      </c>
      <c r="Q160" s="11">
        <v>1</v>
      </c>
      <c r="R160" s="11">
        <v>2</v>
      </c>
      <c r="S160" s="11">
        <v>1.5</v>
      </c>
      <c r="T160" s="13">
        <f t="shared" si="0"/>
        <v>7</v>
      </c>
      <c r="U160" s="13">
        <f t="shared" si="1"/>
        <v>38.888888888888893</v>
      </c>
      <c r="V160" s="12">
        <v>0</v>
      </c>
      <c r="W160" s="12">
        <v>1</v>
      </c>
      <c r="X160" s="12">
        <v>1</v>
      </c>
      <c r="Y160" s="12">
        <v>0</v>
      </c>
      <c r="Z160" s="12">
        <v>0</v>
      </c>
      <c r="AA160" s="12">
        <v>0</v>
      </c>
      <c r="AB160" s="12">
        <v>0</v>
      </c>
      <c r="AC160" s="12">
        <v>1</v>
      </c>
      <c r="AD160" s="15">
        <f t="shared" si="2"/>
        <v>3</v>
      </c>
      <c r="AE160" s="15">
        <f t="shared" si="3"/>
        <v>37.5</v>
      </c>
      <c r="AF160" s="14">
        <v>3</v>
      </c>
      <c r="AG160" s="14">
        <v>4</v>
      </c>
      <c r="AH160" s="14">
        <v>3</v>
      </c>
      <c r="AI160" s="14">
        <v>2</v>
      </c>
      <c r="AJ160" s="14">
        <v>3</v>
      </c>
      <c r="AK160" s="14">
        <v>3</v>
      </c>
      <c r="AL160" s="14">
        <v>3</v>
      </c>
      <c r="AM160" s="14">
        <v>3</v>
      </c>
      <c r="AN160" s="14">
        <v>3</v>
      </c>
      <c r="AO160" s="17">
        <f t="shared" si="4"/>
        <v>27</v>
      </c>
      <c r="AP160" s="17">
        <f t="shared" si="5"/>
        <v>60</v>
      </c>
      <c r="AQ160" s="16">
        <v>1</v>
      </c>
      <c r="AR160" s="16">
        <v>1</v>
      </c>
      <c r="AS160" s="16">
        <v>1</v>
      </c>
      <c r="AT160" s="16">
        <v>1</v>
      </c>
      <c r="AU160" s="16">
        <v>5</v>
      </c>
      <c r="AV160" s="16">
        <v>4</v>
      </c>
      <c r="AW160" s="16">
        <v>1</v>
      </c>
      <c r="AX160" s="16">
        <v>2</v>
      </c>
      <c r="AY160" s="16">
        <v>5</v>
      </c>
      <c r="AZ160" s="16">
        <v>4</v>
      </c>
      <c r="BA160" s="18">
        <f t="shared" si="6"/>
        <v>25</v>
      </c>
      <c r="BB160" s="18">
        <f t="shared" si="7"/>
        <v>50</v>
      </c>
    </row>
    <row r="161" spans="1:54" ht="22.5" customHeight="1" x14ac:dyDescent="0.2">
      <c r="A161" s="9" t="s">
        <v>52</v>
      </c>
      <c r="B161" s="9" t="s">
        <v>68</v>
      </c>
      <c r="C161" s="9" t="s">
        <v>55</v>
      </c>
      <c r="D161" s="1" t="s">
        <v>70</v>
      </c>
      <c r="E161" s="9" t="s">
        <v>92</v>
      </c>
      <c r="F161" s="9" t="s">
        <v>85</v>
      </c>
      <c r="G161" s="9" t="s">
        <v>86</v>
      </c>
      <c r="H161" s="9" t="s">
        <v>99</v>
      </c>
      <c r="I161" s="9" t="s">
        <v>81</v>
      </c>
      <c r="J161" s="11">
        <v>1</v>
      </c>
      <c r="K161" s="11">
        <v>1</v>
      </c>
      <c r="L161" s="11">
        <v>1</v>
      </c>
      <c r="M161" s="11">
        <v>2</v>
      </c>
      <c r="N161" s="11">
        <v>1</v>
      </c>
      <c r="O161" s="11">
        <v>1</v>
      </c>
      <c r="P161" s="11">
        <v>1</v>
      </c>
      <c r="Q161" s="11">
        <v>0</v>
      </c>
      <c r="R161" s="11">
        <v>1</v>
      </c>
      <c r="S161" s="11">
        <v>1</v>
      </c>
      <c r="T161" s="13">
        <f t="shared" si="0"/>
        <v>10</v>
      </c>
      <c r="U161" s="13">
        <f t="shared" si="1"/>
        <v>55.555555555555557</v>
      </c>
      <c r="V161" s="12">
        <v>0</v>
      </c>
      <c r="W161" s="12">
        <v>1</v>
      </c>
      <c r="X161" s="12">
        <v>0</v>
      </c>
      <c r="Y161" s="12">
        <v>0</v>
      </c>
      <c r="Z161" s="12">
        <v>1</v>
      </c>
      <c r="AA161" s="12">
        <v>0</v>
      </c>
      <c r="AB161" s="12">
        <v>1</v>
      </c>
      <c r="AC161" s="12">
        <v>0</v>
      </c>
      <c r="AD161" s="15">
        <f t="shared" si="2"/>
        <v>3</v>
      </c>
      <c r="AE161" s="15">
        <f t="shared" si="3"/>
        <v>37.5</v>
      </c>
      <c r="AF161" s="14">
        <v>3</v>
      </c>
      <c r="AG161" s="14">
        <v>5</v>
      </c>
      <c r="AH161" s="14">
        <v>4</v>
      </c>
      <c r="AI161" s="14">
        <v>3</v>
      </c>
      <c r="AJ161" s="14">
        <v>3</v>
      </c>
      <c r="AK161" s="14">
        <v>2</v>
      </c>
      <c r="AL161" s="14">
        <v>2</v>
      </c>
      <c r="AM161" s="14">
        <v>1</v>
      </c>
      <c r="AN161" s="14">
        <v>1</v>
      </c>
      <c r="AO161" s="17">
        <f t="shared" si="4"/>
        <v>24</v>
      </c>
      <c r="AP161" s="17">
        <f t="shared" si="5"/>
        <v>53.333333333333336</v>
      </c>
      <c r="AQ161" s="16">
        <v>1</v>
      </c>
      <c r="AR161" s="16">
        <v>3</v>
      </c>
      <c r="AS161" s="16">
        <v>3</v>
      </c>
      <c r="AT161" s="16">
        <v>3</v>
      </c>
      <c r="AU161" s="16">
        <v>1</v>
      </c>
      <c r="AV161" s="16">
        <v>2</v>
      </c>
      <c r="AW161" s="16">
        <v>2</v>
      </c>
      <c r="AX161" s="16">
        <v>2</v>
      </c>
      <c r="AY161" s="16">
        <v>1</v>
      </c>
      <c r="AZ161" s="16">
        <v>2</v>
      </c>
      <c r="BA161" s="18">
        <f t="shared" si="6"/>
        <v>20</v>
      </c>
      <c r="BB161" s="18">
        <f t="shared" si="7"/>
        <v>40</v>
      </c>
    </row>
    <row r="162" spans="1:54" ht="22.5" customHeight="1" x14ac:dyDescent="0.2">
      <c r="A162" s="9" t="s">
        <v>52</v>
      </c>
      <c r="B162" s="9" t="s">
        <v>68</v>
      </c>
      <c r="C162" s="9" t="s">
        <v>69</v>
      </c>
      <c r="D162" s="1" t="s">
        <v>75</v>
      </c>
      <c r="E162" s="9" t="s">
        <v>85</v>
      </c>
      <c r="F162" s="9" t="s">
        <v>85</v>
      </c>
      <c r="G162" s="9" t="s">
        <v>95</v>
      </c>
      <c r="H162" s="9" t="s">
        <v>86</v>
      </c>
      <c r="I162" s="9" t="s">
        <v>62</v>
      </c>
      <c r="J162" s="11">
        <v>1</v>
      </c>
      <c r="K162" s="11">
        <v>1</v>
      </c>
      <c r="L162" s="11">
        <v>3</v>
      </c>
      <c r="M162" s="11">
        <v>0</v>
      </c>
      <c r="N162" s="11">
        <v>2</v>
      </c>
      <c r="O162" s="11">
        <v>1</v>
      </c>
      <c r="P162" s="11">
        <v>0</v>
      </c>
      <c r="Q162" s="11">
        <v>0</v>
      </c>
      <c r="R162" s="11">
        <v>1</v>
      </c>
      <c r="S162" s="11">
        <v>1</v>
      </c>
      <c r="T162" s="13">
        <f t="shared" si="0"/>
        <v>10</v>
      </c>
      <c r="U162" s="13">
        <f t="shared" si="1"/>
        <v>55.555555555555557</v>
      </c>
      <c r="V162" s="12">
        <v>0</v>
      </c>
      <c r="W162" s="12">
        <v>1</v>
      </c>
      <c r="X162" s="12">
        <v>0</v>
      </c>
      <c r="Y162" s="12">
        <v>0</v>
      </c>
      <c r="Z162" s="12">
        <v>1</v>
      </c>
      <c r="AA162" s="12">
        <v>1</v>
      </c>
      <c r="AB162" s="12">
        <v>1</v>
      </c>
      <c r="AC162" s="12">
        <v>0</v>
      </c>
      <c r="AD162" s="15">
        <f t="shared" si="2"/>
        <v>4</v>
      </c>
      <c r="AE162" s="15">
        <f t="shared" si="3"/>
        <v>50</v>
      </c>
      <c r="AF162" s="14">
        <v>4</v>
      </c>
      <c r="AG162" s="14">
        <v>3</v>
      </c>
      <c r="AH162" s="14">
        <v>4</v>
      </c>
      <c r="AI162" s="14">
        <v>1</v>
      </c>
      <c r="AJ162" s="14">
        <v>4</v>
      </c>
      <c r="AK162" s="14">
        <v>1</v>
      </c>
      <c r="AL162" s="14">
        <v>1</v>
      </c>
      <c r="AM162" s="14">
        <v>4</v>
      </c>
      <c r="AN162" s="14">
        <v>4</v>
      </c>
      <c r="AO162" s="17">
        <f t="shared" si="4"/>
        <v>26</v>
      </c>
      <c r="AP162" s="17">
        <f t="shared" si="5"/>
        <v>57.777777777777771</v>
      </c>
      <c r="AQ162" s="16">
        <v>3</v>
      </c>
      <c r="AR162" s="16">
        <v>4</v>
      </c>
      <c r="AS162" s="16">
        <v>2</v>
      </c>
      <c r="AT162" s="16">
        <v>1</v>
      </c>
      <c r="AU162" s="16">
        <v>1</v>
      </c>
      <c r="AV162" s="16">
        <v>2</v>
      </c>
      <c r="AW162" s="16">
        <v>2</v>
      </c>
      <c r="AX162" s="16">
        <v>3</v>
      </c>
      <c r="AY162" s="16">
        <v>1</v>
      </c>
      <c r="AZ162" s="16">
        <v>3</v>
      </c>
      <c r="BA162" s="18">
        <f t="shared" si="6"/>
        <v>22</v>
      </c>
      <c r="BB162" s="18">
        <f t="shared" si="7"/>
        <v>44</v>
      </c>
    </row>
    <row r="163" spans="1:54" ht="22.5" customHeight="1" x14ac:dyDescent="0.2">
      <c r="A163" s="9" t="s">
        <v>93</v>
      </c>
      <c r="B163" s="9" t="s">
        <v>68</v>
      </c>
      <c r="C163" s="9" t="s">
        <v>55</v>
      </c>
      <c r="D163" s="1" t="s">
        <v>75</v>
      </c>
      <c r="E163" s="9" t="s">
        <v>92</v>
      </c>
      <c r="F163" s="9" t="s">
        <v>92</v>
      </c>
      <c r="G163" s="9" t="s">
        <v>95</v>
      </c>
      <c r="H163" s="9" t="s">
        <v>57</v>
      </c>
      <c r="I163" s="9" t="s">
        <v>81</v>
      </c>
      <c r="J163" s="11">
        <v>0</v>
      </c>
      <c r="K163" s="11">
        <v>0</v>
      </c>
      <c r="L163" s="11">
        <v>0</v>
      </c>
      <c r="M163" s="11">
        <v>0</v>
      </c>
      <c r="N163" s="11">
        <v>0.5</v>
      </c>
      <c r="O163" s="11">
        <v>0</v>
      </c>
      <c r="P163" s="11">
        <v>0</v>
      </c>
      <c r="Q163" s="11">
        <v>0</v>
      </c>
      <c r="R163" s="11">
        <v>1.5</v>
      </c>
      <c r="S163" s="11">
        <v>0</v>
      </c>
      <c r="T163" s="13">
        <f t="shared" si="0"/>
        <v>2</v>
      </c>
      <c r="U163" s="13">
        <f t="shared" si="1"/>
        <v>11.111111111111111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5">
        <f t="shared" si="2"/>
        <v>0</v>
      </c>
      <c r="AE163" s="15">
        <f t="shared" si="3"/>
        <v>0</v>
      </c>
      <c r="AF163" s="14">
        <v>4</v>
      </c>
      <c r="AG163" s="14">
        <v>4</v>
      </c>
      <c r="AH163" s="14">
        <v>4</v>
      </c>
      <c r="AI163" s="14">
        <v>5</v>
      </c>
      <c r="AJ163" s="14">
        <v>4</v>
      </c>
      <c r="AK163" s="14">
        <v>4</v>
      </c>
      <c r="AL163" s="14">
        <v>5</v>
      </c>
      <c r="AM163" s="14">
        <v>4</v>
      </c>
      <c r="AN163" s="14">
        <v>4</v>
      </c>
      <c r="AO163" s="17">
        <f t="shared" si="4"/>
        <v>38</v>
      </c>
      <c r="AP163" s="17">
        <f t="shared" si="5"/>
        <v>84.444444444444443</v>
      </c>
      <c r="AQ163" s="16">
        <v>1</v>
      </c>
      <c r="AR163" s="16">
        <v>1</v>
      </c>
      <c r="AS163" s="16">
        <v>1</v>
      </c>
      <c r="AT163" s="16">
        <v>1</v>
      </c>
      <c r="AU163" s="16">
        <v>1</v>
      </c>
      <c r="AV163" s="16">
        <v>1</v>
      </c>
      <c r="AW163" s="16">
        <v>1</v>
      </c>
      <c r="AX163" s="16">
        <v>1</v>
      </c>
      <c r="AY163" s="16">
        <v>1</v>
      </c>
      <c r="AZ163" s="16">
        <v>1</v>
      </c>
      <c r="BA163" s="18">
        <f t="shared" si="6"/>
        <v>10</v>
      </c>
      <c r="BB163" s="18">
        <f t="shared" si="7"/>
        <v>20</v>
      </c>
    </row>
    <row r="164" spans="1:54" ht="22.5" customHeight="1" x14ac:dyDescent="0.2">
      <c r="A164" s="9" t="s">
        <v>52</v>
      </c>
      <c r="B164" s="9" t="s">
        <v>68</v>
      </c>
      <c r="C164" s="9" t="s">
        <v>69</v>
      </c>
      <c r="D164" s="1" t="s">
        <v>100</v>
      </c>
      <c r="E164" s="9" t="s">
        <v>85</v>
      </c>
      <c r="F164" s="9" t="s">
        <v>85</v>
      </c>
      <c r="G164" s="9" t="s">
        <v>61</v>
      </c>
      <c r="H164" s="9" t="s">
        <v>57</v>
      </c>
      <c r="I164" s="9" t="s">
        <v>81</v>
      </c>
      <c r="J164" s="11">
        <v>0</v>
      </c>
      <c r="K164" s="11">
        <v>0</v>
      </c>
      <c r="L164" s="11">
        <v>0</v>
      </c>
      <c r="M164" s="11">
        <v>0</v>
      </c>
      <c r="N164" s="11">
        <v>0.5</v>
      </c>
      <c r="O164" s="11">
        <v>0</v>
      </c>
      <c r="P164" s="11">
        <v>0</v>
      </c>
      <c r="Q164" s="11">
        <v>0</v>
      </c>
      <c r="R164" s="11">
        <v>1.5</v>
      </c>
      <c r="S164" s="11">
        <v>0</v>
      </c>
      <c r="T164" s="13">
        <f t="shared" si="0"/>
        <v>2</v>
      </c>
      <c r="U164" s="13">
        <f t="shared" si="1"/>
        <v>11.111111111111111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5">
        <f t="shared" si="2"/>
        <v>0</v>
      </c>
      <c r="AE164" s="15">
        <f t="shared" si="3"/>
        <v>0</v>
      </c>
      <c r="AF164" s="14">
        <v>4</v>
      </c>
      <c r="AG164" s="14">
        <v>5</v>
      </c>
      <c r="AH164" s="14">
        <v>4</v>
      </c>
      <c r="AI164" s="14">
        <v>4</v>
      </c>
      <c r="AJ164" s="14">
        <v>4</v>
      </c>
      <c r="AK164" s="14">
        <v>4</v>
      </c>
      <c r="AL164" s="14">
        <v>4</v>
      </c>
      <c r="AM164" s="14">
        <v>4</v>
      </c>
      <c r="AN164" s="14">
        <v>4</v>
      </c>
      <c r="AO164" s="17">
        <f t="shared" si="4"/>
        <v>37</v>
      </c>
      <c r="AP164" s="17">
        <f t="shared" si="5"/>
        <v>82.222222222222214</v>
      </c>
      <c r="AQ164" s="16">
        <v>1</v>
      </c>
      <c r="AR164" s="16">
        <v>1</v>
      </c>
      <c r="AS164" s="16">
        <v>1</v>
      </c>
      <c r="AT164" s="16">
        <v>1</v>
      </c>
      <c r="AU164" s="16">
        <v>1</v>
      </c>
      <c r="AV164" s="16">
        <v>1</v>
      </c>
      <c r="AW164" s="16">
        <v>1</v>
      </c>
      <c r="AX164" s="16">
        <v>1</v>
      </c>
      <c r="AY164" s="16">
        <v>1</v>
      </c>
      <c r="AZ164" s="16">
        <v>1</v>
      </c>
      <c r="BA164" s="18">
        <f t="shared" si="6"/>
        <v>10</v>
      </c>
      <c r="BB164" s="18">
        <f t="shared" si="7"/>
        <v>20</v>
      </c>
    </row>
    <row r="165" spans="1:54" ht="22.5" customHeight="1" x14ac:dyDescent="0.2">
      <c r="A165" s="9" t="s">
        <v>74</v>
      </c>
      <c r="B165" s="9" t="s">
        <v>68</v>
      </c>
      <c r="C165" s="9" t="s">
        <v>55</v>
      </c>
      <c r="D165" s="1" t="s">
        <v>100</v>
      </c>
      <c r="E165" s="9" t="s">
        <v>92</v>
      </c>
      <c r="F165" s="9" t="s">
        <v>85</v>
      </c>
      <c r="G165" s="9" t="s">
        <v>61</v>
      </c>
      <c r="H165" s="9" t="s">
        <v>57</v>
      </c>
      <c r="I165" s="9" t="s">
        <v>81</v>
      </c>
      <c r="J165" s="11">
        <v>0</v>
      </c>
      <c r="K165" s="11">
        <v>0</v>
      </c>
      <c r="L165" s="11">
        <v>0</v>
      </c>
      <c r="M165" s="11">
        <v>0</v>
      </c>
      <c r="N165" s="11">
        <v>0.5</v>
      </c>
      <c r="O165" s="11">
        <v>0</v>
      </c>
      <c r="P165" s="11">
        <v>0</v>
      </c>
      <c r="Q165" s="11">
        <v>0</v>
      </c>
      <c r="R165" s="11">
        <v>1.5</v>
      </c>
      <c r="S165" s="11">
        <v>0</v>
      </c>
      <c r="T165" s="13">
        <f t="shared" si="0"/>
        <v>2</v>
      </c>
      <c r="U165" s="13">
        <f t="shared" si="1"/>
        <v>11.111111111111111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5">
        <f t="shared" si="2"/>
        <v>0</v>
      </c>
      <c r="AE165" s="15">
        <f t="shared" si="3"/>
        <v>0</v>
      </c>
      <c r="AF165" s="14">
        <v>4</v>
      </c>
      <c r="AG165" s="14">
        <v>5</v>
      </c>
      <c r="AH165" s="14">
        <v>5</v>
      </c>
      <c r="AI165" s="14">
        <v>4</v>
      </c>
      <c r="AJ165" s="14">
        <v>4</v>
      </c>
      <c r="AK165" s="14">
        <v>4</v>
      </c>
      <c r="AL165" s="14">
        <v>4</v>
      </c>
      <c r="AM165" s="14">
        <v>4</v>
      </c>
      <c r="AN165" s="14">
        <v>4</v>
      </c>
      <c r="AO165" s="17">
        <f t="shared" si="4"/>
        <v>38</v>
      </c>
      <c r="AP165" s="17">
        <f t="shared" si="5"/>
        <v>84.444444444444443</v>
      </c>
      <c r="AQ165" s="16">
        <v>1</v>
      </c>
      <c r="AR165" s="16">
        <v>1</v>
      </c>
      <c r="AS165" s="16">
        <v>2</v>
      </c>
      <c r="AT165" s="16">
        <v>2</v>
      </c>
      <c r="AU165" s="16">
        <v>1</v>
      </c>
      <c r="AV165" s="16">
        <v>2</v>
      </c>
      <c r="AW165" s="16">
        <v>2</v>
      </c>
      <c r="AX165" s="16">
        <v>3</v>
      </c>
      <c r="AY165" s="16">
        <v>1</v>
      </c>
      <c r="AZ165" s="16">
        <v>1</v>
      </c>
      <c r="BA165" s="18">
        <f t="shared" si="6"/>
        <v>16</v>
      </c>
      <c r="BB165" s="18">
        <f t="shared" si="7"/>
        <v>32</v>
      </c>
    </row>
    <row r="166" spans="1:54" ht="22.5" customHeight="1" x14ac:dyDescent="0.2">
      <c r="A166" s="9" t="s">
        <v>74</v>
      </c>
      <c r="B166" s="9" t="s">
        <v>54</v>
      </c>
      <c r="C166" s="9" t="s">
        <v>69</v>
      </c>
      <c r="D166" s="1" t="s">
        <v>100</v>
      </c>
      <c r="E166" s="9" t="s">
        <v>92</v>
      </c>
      <c r="F166" s="9" t="s">
        <v>92</v>
      </c>
      <c r="G166" s="9" t="s">
        <v>76</v>
      </c>
      <c r="H166" s="9" t="s">
        <v>57</v>
      </c>
      <c r="I166" s="9" t="s">
        <v>81</v>
      </c>
      <c r="J166" s="11">
        <v>0</v>
      </c>
      <c r="K166" s="11">
        <v>0</v>
      </c>
      <c r="L166" s="11">
        <v>0</v>
      </c>
      <c r="M166" s="11">
        <v>0</v>
      </c>
      <c r="N166" s="11">
        <v>0.5</v>
      </c>
      <c r="O166" s="11">
        <v>0</v>
      </c>
      <c r="P166" s="11">
        <v>0</v>
      </c>
      <c r="Q166" s="11">
        <v>0</v>
      </c>
      <c r="R166" s="11">
        <v>1.5</v>
      </c>
      <c r="S166" s="11">
        <v>0.5</v>
      </c>
      <c r="T166" s="13">
        <f t="shared" si="0"/>
        <v>2.5</v>
      </c>
      <c r="U166" s="13">
        <f t="shared" si="1"/>
        <v>13.888888888888889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5">
        <f t="shared" si="2"/>
        <v>0</v>
      </c>
      <c r="AE166" s="15">
        <f t="shared" si="3"/>
        <v>0</v>
      </c>
      <c r="AF166" s="14">
        <v>4</v>
      </c>
      <c r="AG166" s="14">
        <v>4</v>
      </c>
      <c r="AH166" s="14">
        <v>5</v>
      </c>
      <c r="AI166" s="14">
        <v>4</v>
      </c>
      <c r="AJ166" s="14">
        <v>4</v>
      </c>
      <c r="AK166" s="14">
        <v>4</v>
      </c>
      <c r="AL166" s="14">
        <v>4</v>
      </c>
      <c r="AM166" s="14">
        <v>4</v>
      </c>
      <c r="AN166" s="14">
        <v>4</v>
      </c>
      <c r="AO166" s="17">
        <f t="shared" si="4"/>
        <v>37</v>
      </c>
      <c r="AP166" s="17">
        <f t="shared" si="5"/>
        <v>82.222222222222214</v>
      </c>
      <c r="AQ166" s="16">
        <v>1</v>
      </c>
      <c r="AR166" s="16">
        <v>1</v>
      </c>
      <c r="AS166" s="16">
        <v>1</v>
      </c>
      <c r="AT166" s="16">
        <v>1</v>
      </c>
      <c r="AU166" s="16">
        <v>1</v>
      </c>
      <c r="AV166" s="16">
        <v>2</v>
      </c>
      <c r="AW166" s="16">
        <v>3</v>
      </c>
      <c r="AX166" s="16">
        <v>1</v>
      </c>
      <c r="AY166" s="16">
        <v>1</v>
      </c>
      <c r="AZ166" s="16">
        <v>1</v>
      </c>
      <c r="BA166" s="18">
        <f t="shared" si="6"/>
        <v>13</v>
      </c>
      <c r="BB166" s="18">
        <f t="shared" si="7"/>
        <v>26</v>
      </c>
    </row>
    <row r="167" spans="1:54" ht="22.5" customHeight="1" x14ac:dyDescent="0.2">
      <c r="A167" s="9" t="s">
        <v>67</v>
      </c>
      <c r="B167" s="9" t="s">
        <v>68</v>
      </c>
      <c r="C167" s="9" t="s">
        <v>55</v>
      </c>
      <c r="D167" s="1" t="s">
        <v>100</v>
      </c>
      <c r="E167" s="9" t="s">
        <v>85</v>
      </c>
      <c r="F167" s="9" t="s">
        <v>92</v>
      </c>
      <c r="G167" s="9" t="s">
        <v>61</v>
      </c>
      <c r="H167" s="9" t="s">
        <v>57</v>
      </c>
      <c r="I167" s="9" t="s">
        <v>81</v>
      </c>
      <c r="J167" s="11">
        <v>1</v>
      </c>
      <c r="K167" s="11">
        <v>1</v>
      </c>
      <c r="L167" s="11">
        <v>1</v>
      </c>
      <c r="M167" s="11">
        <v>1</v>
      </c>
      <c r="N167" s="11">
        <v>0.5</v>
      </c>
      <c r="O167" s="11">
        <v>1</v>
      </c>
      <c r="P167" s="11">
        <v>0.5</v>
      </c>
      <c r="Q167" s="11">
        <v>0</v>
      </c>
      <c r="R167" s="11">
        <v>1.5</v>
      </c>
      <c r="S167" s="11">
        <v>0</v>
      </c>
      <c r="T167" s="13">
        <f t="shared" si="0"/>
        <v>7.5</v>
      </c>
      <c r="U167" s="13">
        <f t="shared" si="1"/>
        <v>41.666666666666671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5">
        <f t="shared" si="2"/>
        <v>0</v>
      </c>
      <c r="AE167" s="15">
        <f t="shared" si="3"/>
        <v>0</v>
      </c>
      <c r="AF167" s="14">
        <v>4</v>
      </c>
      <c r="AG167" s="14">
        <v>5</v>
      </c>
      <c r="AH167" s="14">
        <v>4</v>
      </c>
      <c r="AI167" s="14">
        <v>5</v>
      </c>
      <c r="AJ167" s="14">
        <v>4</v>
      </c>
      <c r="AK167" s="14">
        <v>4</v>
      </c>
      <c r="AL167" s="14">
        <v>4</v>
      </c>
      <c r="AM167" s="14">
        <v>4</v>
      </c>
      <c r="AN167" s="14">
        <v>4</v>
      </c>
      <c r="AO167" s="17">
        <f t="shared" si="4"/>
        <v>38</v>
      </c>
      <c r="AP167" s="17">
        <f t="shared" si="5"/>
        <v>84.444444444444443</v>
      </c>
      <c r="AQ167" s="16">
        <v>1</v>
      </c>
      <c r="AR167" s="16">
        <v>1</v>
      </c>
      <c r="AS167" s="16">
        <v>1</v>
      </c>
      <c r="AT167" s="16">
        <v>1</v>
      </c>
      <c r="AU167" s="16">
        <v>1</v>
      </c>
      <c r="AV167" s="16">
        <v>1</v>
      </c>
      <c r="AW167" s="16">
        <v>1</v>
      </c>
      <c r="AX167" s="16">
        <v>3</v>
      </c>
      <c r="AY167" s="16">
        <v>1</v>
      </c>
      <c r="AZ167" s="16">
        <v>1</v>
      </c>
      <c r="BA167" s="18">
        <f t="shared" si="6"/>
        <v>12</v>
      </c>
      <c r="BB167" s="18">
        <f t="shared" si="7"/>
        <v>24</v>
      </c>
    </row>
    <row r="168" spans="1:54" ht="22.5" customHeight="1" x14ac:dyDescent="0.2">
      <c r="A168" s="9" t="s">
        <v>93</v>
      </c>
      <c r="B168" s="9" t="s">
        <v>68</v>
      </c>
      <c r="C168" s="9" t="s">
        <v>55</v>
      </c>
      <c r="D168" s="1" t="s">
        <v>100</v>
      </c>
      <c r="E168" s="9" t="s">
        <v>92</v>
      </c>
      <c r="F168" s="9" t="s">
        <v>92</v>
      </c>
      <c r="G168" s="9" t="s">
        <v>61</v>
      </c>
      <c r="H168" s="9" t="s">
        <v>57</v>
      </c>
      <c r="I168" s="9" t="s">
        <v>81</v>
      </c>
      <c r="J168" s="11">
        <v>0</v>
      </c>
      <c r="K168" s="11">
        <v>0</v>
      </c>
      <c r="L168" s="11">
        <v>0</v>
      </c>
      <c r="M168" s="11">
        <v>0</v>
      </c>
      <c r="N168" s="11">
        <v>0.5</v>
      </c>
      <c r="O168" s="11">
        <v>0</v>
      </c>
      <c r="P168" s="11">
        <v>0</v>
      </c>
      <c r="Q168" s="11">
        <v>0</v>
      </c>
      <c r="R168" s="11">
        <v>1.5</v>
      </c>
      <c r="S168" s="11">
        <v>0</v>
      </c>
      <c r="T168" s="13">
        <f t="shared" si="0"/>
        <v>2</v>
      </c>
      <c r="U168" s="13">
        <f t="shared" si="1"/>
        <v>11.111111111111111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5">
        <f t="shared" si="2"/>
        <v>0</v>
      </c>
      <c r="AE168" s="15">
        <f t="shared" si="3"/>
        <v>0</v>
      </c>
      <c r="AF168" s="14">
        <v>4</v>
      </c>
      <c r="AG168" s="14">
        <v>4</v>
      </c>
      <c r="AH168" s="14">
        <v>5</v>
      </c>
      <c r="AI168" s="14">
        <v>4</v>
      </c>
      <c r="AJ168" s="14">
        <v>5</v>
      </c>
      <c r="AK168" s="14">
        <v>4</v>
      </c>
      <c r="AL168" s="14">
        <v>4</v>
      </c>
      <c r="AM168" s="14">
        <v>4</v>
      </c>
      <c r="AN168" s="14">
        <v>4</v>
      </c>
      <c r="AO168" s="17">
        <f t="shared" si="4"/>
        <v>38</v>
      </c>
      <c r="AP168" s="17">
        <f t="shared" si="5"/>
        <v>84.444444444444443</v>
      </c>
      <c r="AQ168" s="16">
        <v>1</v>
      </c>
      <c r="AR168" s="16">
        <v>1</v>
      </c>
      <c r="AS168" s="16">
        <v>1</v>
      </c>
      <c r="AT168" s="16">
        <v>1</v>
      </c>
      <c r="AU168" s="16">
        <v>1</v>
      </c>
      <c r="AV168" s="16">
        <v>1</v>
      </c>
      <c r="AW168" s="16">
        <v>1</v>
      </c>
      <c r="AX168" s="16">
        <v>2</v>
      </c>
      <c r="AY168" s="16">
        <v>1</v>
      </c>
      <c r="AZ168" s="16">
        <v>1</v>
      </c>
      <c r="BA168" s="18">
        <f t="shared" si="6"/>
        <v>11</v>
      </c>
      <c r="BB168" s="18">
        <f t="shared" si="7"/>
        <v>22</v>
      </c>
    </row>
    <row r="169" spans="1:54" ht="22.5" customHeight="1" x14ac:dyDescent="0.2">
      <c r="A169" s="9" t="s">
        <v>52</v>
      </c>
      <c r="B169" s="9" t="s">
        <v>54</v>
      </c>
      <c r="C169" s="9" t="s">
        <v>69</v>
      </c>
      <c r="D169" s="1" t="s">
        <v>100</v>
      </c>
      <c r="E169" s="9" t="s">
        <v>85</v>
      </c>
      <c r="F169" s="9" t="s">
        <v>85</v>
      </c>
      <c r="G169" s="9" t="s">
        <v>61</v>
      </c>
      <c r="H169" s="9" t="s">
        <v>57</v>
      </c>
      <c r="I169" s="9" t="s">
        <v>62</v>
      </c>
      <c r="J169" s="11">
        <v>0</v>
      </c>
      <c r="K169" s="11">
        <v>0</v>
      </c>
      <c r="L169" s="11">
        <v>0</v>
      </c>
      <c r="M169" s="11">
        <v>0</v>
      </c>
      <c r="N169" s="11">
        <v>0.5</v>
      </c>
      <c r="O169" s="11">
        <v>0</v>
      </c>
      <c r="P169" s="11">
        <v>0</v>
      </c>
      <c r="Q169" s="11">
        <v>0</v>
      </c>
      <c r="R169" s="11">
        <v>1.5</v>
      </c>
      <c r="S169" s="11">
        <v>0</v>
      </c>
      <c r="T169" s="13">
        <f t="shared" si="0"/>
        <v>2</v>
      </c>
      <c r="U169" s="13">
        <f t="shared" si="1"/>
        <v>11.111111111111111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5">
        <f t="shared" si="2"/>
        <v>0</v>
      </c>
      <c r="AE169" s="15">
        <f t="shared" si="3"/>
        <v>0</v>
      </c>
      <c r="AF169" s="14">
        <v>4</v>
      </c>
      <c r="AG169" s="14">
        <v>5</v>
      </c>
      <c r="AH169" s="14">
        <v>4</v>
      </c>
      <c r="AI169" s="14">
        <v>4</v>
      </c>
      <c r="AJ169" s="14">
        <v>4</v>
      </c>
      <c r="AK169" s="14">
        <v>4</v>
      </c>
      <c r="AL169" s="14">
        <v>4</v>
      </c>
      <c r="AM169" s="14">
        <v>4</v>
      </c>
      <c r="AN169" s="14">
        <v>4</v>
      </c>
      <c r="AO169" s="17">
        <f t="shared" si="4"/>
        <v>37</v>
      </c>
      <c r="AP169" s="17">
        <f t="shared" si="5"/>
        <v>82.222222222222214</v>
      </c>
      <c r="AQ169" s="16">
        <v>1</v>
      </c>
      <c r="AR169" s="16">
        <v>2</v>
      </c>
      <c r="AS169" s="16">
        <v>2</v>
      </c>
      <c r="AT169" s="16">
        <v>1</v>
      </c>
      <c r="AU169" s="16">
        <v>1</v>
      </c>
      <c r="AV169" s="16">
        <v>1</v>
      </c>
      <c r="AW169" s="16">
        <v>1</v>
      </c>
      <c r="AX169" s="16">
        <v>1</v>
      </c>
      <c r="AY169" s="16">
        <v>1</v>
      </c>
      <c r="AZ169" s="16">
        <v>1</v>
      </c>
      <c r="BA169" s="18">
        <f t="shared" si="6"/>
        <v>12</v>
      </c>
      <c r="BB169" s="18">
        <f t="shared" si="7"/>
        <v>24</v>
      </c>
    </row>
    <row r="170" spans="1:54" ht="22.5" customHeight="1" x14ac:dyDescent="0.2">
      <c r="A170" s="9" t="s">
        <v>74</v>
      </c>
      <c r="B170" s="9" t="s">
        <v>68</v>
      </c>
      <c r="C170" s="9" t="s">
        <v>55</v>
      </c>
      <c r="D170" s="1" t="s">
        <v>57</v>
      </c>
      <c r="E170" s="9" t="s">
        <v>92</v>
      </c>
      <c r="F170" s="9" t="s">
        <v>85</v>
      </c>
      <c r="G170" s="9" t="s">
        <v>95</v>
      </c>
      <c r="H170" s="9" t="s">
        <v>57</v>
      </c>
      <c r="I170" s="9" t="s">
        <v>81</v>
      </c>
      <c r="J170" s="11">
        <v>0</v>
      </c>
      <c r="K170" s="11">
        <v>0</v>
      </c>
      <c r="L170" s="11">
        <v>0</v>
      </c>
      <c r="M170" s="11">
        <v>0</v>
      </c>
      <c r="N170" s="11">
        <v>0.5</v>
      </c>
      <c r="O170" s="11">
        <v>0</v>
      </c>
      <c r="P170" s="11">
        <v>0</v>
      </c>
      <c r="Q170" s="11">
        <v>0</v>
      </c>
      <c r="R170" s="11">
        <v>1.5</v>
      </c>
      <c r="S170" s="11">
        <v>0</v>
      </c>
      <c r="T170" s="13">
        <f t="shared" si="0"/>
        <v>2</v>
      </c>
      <c r="U170" s="13">
        <f t="shared" si="1"/>
        <v>11.111111111111111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5">
        <f t="shared" si="2"/>
        <v>0</v>
      </c>
      <c r="AE170" s="15">
        <f t="shared" si="3"/>
        <v>0</v>
      </c>
      <c r="AF170" s="14">
        <v>4</v>
      </c>
      <c r="AG170" s="14">
        <v>5</v>
      </c>
      <c r="AH170" s="14">
        <v>4</v>
      </c>
      <c r="AI170" s="14">
        <v>4</v>
      </c>
      <c r="AJ170" s="14">
        <v>4</v>
      </c>
      <c r="AK170" s="14">
        <v>4</v>
      </c>
      <c r="AL170" s="14">
        <v>4</v>
      </c>
      <c r="AM170" s="14">
        <v>4</v>
      </c>
      <c r="AN170" s="14">
        <v>4</v>
      </c>
      <c r="AO170" s="17">
        <f t="shared" si="4"/>
        <v>37</v>
      </c>
      <c r="AP170" s="17">
        <f t="shared" si="5"/>
        <v>82.222222222222214</v>
      </c>
      <c r="AQ170" s="16">
        <v>1</v>
      </c>
      <c r="AR170" s="16">
        <v>2</v>
      </c>
      <c r="AS170" s="16">
        <v>1</v>
      </c>
      <c r="AT170" s="16">
        <v>1</v>
      </c>
      <c r="AU170" s="16">
        <v>1</v>
      </c>
      <c r="AV170" s="16">
        <v>1</v>
      </c>
      <c r="AW170" s="16">
        <v>1</v>
      </c>
      <c r="AX170" s="16">
        <v>1</v>
      </c>
      <c r="AY170" s="16">
        <v>1</v>
      </c>
      <c r="AZ170" s="16">
        <v>2</v>
      </c>
      <c r="BA170" s="18">
        <f t="shared" si="6"/>
        <v>12</v>
      </c>
      <c r="BB170" s="18">
        <f t="shared" si="7"/>
        <v>24</v>
      </c>
    </row>
    <row r="171" spans="1:54" ht="22.5" customHeight="1" x14ac:dyDescent="0.2">
      <c r="A171" s="9" t="s">
        <v>74</v>
      </c>
      <c r="B171" s="9" t="s">
        <v>54</v>
      </c>
      <c r="C171" s="9" t="s">
        <v>69</v>
      </c>
      <c r="D171" s="1" t="s">
        <v>100</v>
      </c>
      <c r="E171" s="9" t="s">
        <v>85</v>
      </c>
      <c r="F171" s="9" t="s">
        <v>60</v>
      </c>
      <c r="G171" s="9" t="s">
        <v>61</v>
      </c>
      <c r="H171" s="9" t="s">
        <v>57</v>
      </c>
      <c r="I171" s="9" t="s">
        <v>62</v>
      </c>
      <c r="J171" s="11">
        <v>0</v>
      </c>
      <c r="K171" s="11">
        <v>0</v>
      </c>
      <c r="L171" s="11">
        <v>0</v>
      </c>
      <c r="M171" s="11">
        <v>0</v>
      </c>
      <c r="N171" s="11">
        <v>0.5</v>
      </c>
      <c r="O171" s="11">
        <v>0</v>
      </c>
      <c r="P171" s="11">
        <v>0</v>
      </c>
      <c r="Q171" s="11">
        <v>0</v>
      </c>
      <c r="R171" s="11">
        <v>1.5</v>
      </c>
      <c r="S171" s="11">
        <v>0</v>
      </c>
      <c r="T171" s="13">
        <f t="shared" si="0"/>
        <v>2</v>
      </c>
      <c r="U171" s="13">
        <f t="shared" si="1"/>
        <v>11.111111111111111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5">
        <f t="shared" si="2"/>
        <v>0</v>
      </c>
      <c r="AE171" s="15">
        <f t="shared" si="3"/>
        <v>0</v>
      </c>
      <c r="AF171" s="14">
        <v>4</v>
      </c>
      <c r="AG171" s="14">
        <v>5</v>
      </c>
      <c r="AH171" s="14">
        <v>4</v>
      </c>
      <c r="AI171" s="14">
        <v>4</v>
      </c>
      <c r="AJ171" s="14">
        <v>5</v>
      </c>
      <c r="AK171" s="14">
        <v>4</v>
      </c>
      <c r="AL171" s="14">
        <v>4</v>
      </c>
      <c r="AM171" s="14">
        <v>4</v>
      </c>
      <c r="AN171" s="14">
        <v>4</v>
      </c>
      <c r="AO171" s="17">
        <f t="shared" si="4"/>
        <v>38</v>
      </c>
      <c r="AP171" s="17">
        <f t="shared" si="5"/>
        <v>84.444444444444443</v>
      </c>
      <c r="AQ171" s="16">
        <v>1</v>
      </c>
      <c r="AR171" s="16">
        <v>2</v>
      </c>
      <c r="AS171" s="16">
        <v>3</v>
      </c>
      <c r="AT171" s="16">
        <v>1</v>
      </c>
      <c r="AU171" s="16">
        <v>1</v>
      </c>
      <c r="AV171" s="16">
        <v>1</v>
      </c>
      <c r="AW171" s="16">
        <v>1</v>
      </c>
      <c r="AX171" s="16">
        <v>1</v>
      </c>
      <c r="AY171" s="16">
        <v>1</v>
      </c>
      <c r="AZ171" s="16">
        <v>1</v>
      </c>
      <c r="BA171" s="18">
        <f t="shared" si="6"/>
        <v>13</v>
      </c>
      <c r="BB171" s="18">
        <f t="shared" si="7"/>
        <v>26</v>
      </c>
    </row>
    <row r="172" spans="1:54" ht="22.5" customHeight="1" x14ac:dyDescent="0.2">
      <c r="A172" s="9" t="s">
        <v>67</v>
      </c>
      <c r="B172" s="9" t="s">
        <v>68</v>
      </c>
      <c r="C172" s="9" t="s">
        <v>69</v>
      </c>
      <c r="D172" s="1" t="s">
        <v>100</v>
      </c>
      <c r="E172" s="9" t="s">
        <v>92</v>
      </c>
      <c r="F172" s="9" t="s">
        <v>85</v>
      </c>
      <c r="G172" s="9" t="s">
        <v>61</v>
      </c>
      <c r="H172" s="9" t="s">
        <v>57</v>
      </c>
      <c r="I172" s="9" t="s">
        <v>81</v>
      </c>
      <c r="J172" s="11">
        <v>0</v>
      </c>
      <c r="K172" s="11">
        <v>1</v>
      </c>
      <c r="L172" s="11">
        <v>0</v>
      </c>
      <c r="M172" s="11">
        <v>0</v>
      </c>
      <c r="N172" s="11">
        <v>0.5</v>
      </c>
      <c r="O172" s="11">
        <v>0</v>
      </c>
      <c r="P172" s="11">
        <v>0</v>
      </c>
      <c r="Q172" s="11">
        <v>0</v>
      </c>
      <c r="R172" s="11">
        <v>1.5</v>
      </c>
      <c r="S172" s="11">
        <v>0</v>
      </c>
      <c r="T172" s="13">
        <f t="shared" si="0"/>
        <v>3</v>
      </c>
      <c r="U172" s="13">
        <f t="shared" si="1"/>
        <v>16.666666666666664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5">
        <f t="shared" si="2"/>
        <v>0</v>
      </c>
      <c r="AE172" s="15">
        <f t="shared" si="3"/>
        <v>0</v>
      </c>
      <c r="AF172" s="14">
        <v>4</v>
      </c>
      <c r="AG172" s="14">
        <v>5</v>
      </c>
      <c r="AH172" s="14">
        <v>4</v>
      </c>
      <c r="AI172" s="14">
        <v>4</v>
      </c>
      <c r="AJ172" s="14">
        <v>4</v>
      </c>
      <c r="AK172" s="14">
        <v>4</v>
      </c>
      <c r="AL172" s="14">
        <v>4</v>
      </c>
      <c r="AM172" s="14">
        <v>4</v>
      </c>
      <c r="AN172" s="14">
        <v>4</v>
      </c>
      <c r="AO172" s="17">
        <f t="shared" si="4"/>
        <v>37</v>
      </c>
      <c r="AP172" s="17">
        <f t="shared" si="5"/>
        <v>82.222222222222214</v>
      </c>
      <c r="AQ172" s="16">
        <v>1</v>
      </c>
      <c r="AR172" s="16">
        <v>2</v>
      </c>
      <c r="AS172" s="16">
        <v>1</v>
      </c>
      <c r="AT172" s="16">
        <v>1</v>
      </c>
      <c r="AU172" s="16">
        <v>1</v>
      </c>
      <c r="AV172" s="16">
        <v>1</v>
      </c>
      <c r="AW172" s="16">
        <v>2</v>
      </c>
      <c r="AX172" s="16">
        <v>1</v>
      </c>
      <c r="AY172" s="16">
        <v>1</v>
      </c>
      <c r="AZ172" s="16">
        <v>1</v>
      </c>
      <c r="BA172" s="18">
        <f t="shared" si="6"/>
        <v>12</v>
      </c>
      <c r="BB172" s="18">
        <f t="shared" si="7"/>
        <v>24</v>
      </c>
    </row>
    <row r="173" spans="1:54" ht="22.5" customHeight="1" x14ac:dyDescent="0.2">
      <c r="A173" s="9" t="s">
        <v>93</v>
      </c>
      <c r="B173" s="9" t="s">
        <v>54</v>
      </c>
      <c r="C173" s="9" t="s">
        <v>55</v>
      </c>
      <c r="D173" s="1" t="s">
        <v>100</v>
      </c>
      <c r="E173" s="9" t="s">
        <v>92</v>
      </c>
      <c r="F173" s="9" t="s">
        <v>85</v>
      </c>
      <c r="G173" s="9" t="s">
        <v>61</v>
      </c>
      <c r="H173" s="9" t="s">
        <v>57</v>
      </c>
      <c r="I173" s="9" t="s">
        <v>81</v>
      </c>
      <c r="J173" s="11">
        <v>0</v>
      </c>
      <c r="K173" s="11">
        <v>0</v>
      </c>
      <c r="L173" s="11">
        <v>0</v>
      </c>
      <c r="M173" s="11">
        <v>0</v>
      </c>
      <c r="N173" s="11">
        <v>0.5</v>
      </c>
      <c r="O173" s="11">
        <v>0</v>
      </c>
      <c r="P173" s="11">
        <v>0</v>
      </c>
      <c r="Q173" s="11">
        <v>0</v>
      </c>
      <c r="R173" s="11">
        <v>1.5</v>
      </c>
      <c r="S173" s="11">
        <v>0</v>
      </c>
      <c r="T173" s="13">
        <f t="shared" si="0"/>
        <v>2</v>
      </c>
      <c r="U173" s="13">
        <f t="shared" si="1"/>
        <v>11.111111111111111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5">
        <f t="shared" si="2"/>
        <v>0</v>
      </c>
      <c r="AE173" s="15">
        <f t="shared" si="3"/>
        <v>0</v>
      </c>
      <c r="AF173" s="14">
        <v>4</v>
      </c>
      <c r="AG173" s="14">
        <v>4</v>
      </c>
      <c r="AH173" s="14">
        <v>5</v>
      </c>
      <c r="AI173" s="14">
        <v>4</v>
      </c>
      <c r="AJ173" s="14">
        <v>4</v>
      </c>
      <c r="AK173" s="14">
        <v>4</v>
      </c>
      <c r="AL173" s="14">
        <v>4</v>
      </c>
      <c r="AM173" s="14">
        <v>4</v>
      </c>
      <c r="AN173" s="14">
        <v>4</v>
      </c>
      <c r="AO173" s="17">
        <f t="shared" si="4"/>
        <v>37</v>
      </c>
      <c r="AP173" s="17">
        <f t="shared" si="5"/>
        <v>82.222222222222214</v>
      </c>
      <c r="AQ173" s="16">
        <v>1</v>
      </c>
      <c r="AR173" s="16">
        <v>1</v>
      </c>
      <c r="AS173" s="16">
        <v>1</v>
      </c>
      <c r="AT173" s="16">
        <v>1</v>
      </c>
      <c r="AU173" s="16">
        <v>1</v>
      </c>
      <c r="AV173" s="16">
        <v>1</v>
      </c>
      <c r="AW173" s="16">
        <v>1</v>
      </c>
      <c r="AX173" s="16">
        <v>2</v>
      </c>
      <c r="AY173" s="16">
        <v>1</v>
      </c>
      <c r="AZ173" s="16">
        <v>1</v>
      </c>
      <c r="BA173" s="18">
        <f t="shared" si="6"/>
        <v>11</v>
      </c>
      <c r="BB173" s="18">
        <f t="shared" si="7"/>
        <v>22</v>
      </c>
    </row>
    <row r="174" spans="1:54" ht="22.5" customHeight="1" x14ac:dyDescent="0.2">
      <c r="A174" s="9" t="s">
        <v>52</v>
      </c>
      <c r="B174" s="9" t="s">
        <v>54</v>
      </c>
      <c r="C174" s="9" t="s">
        <v>69</v>
      </c>
      <c r="D174" s="1" t="s">
        <v>100</v>
      </c>
      <c r="E174" s="9" t="s">
        <v>85</v>
      </c>
      <c r="F174" s="9" t="s">
        <v>92</v>
      </c>
      <c r="G174" s="9" t="s">
        <v>61</v>
      </c>
      <c r="H174" s="9" t="s">
        <v>57</v>
      </c>
      <c r="I174" s="9" t="s">
        <v>81</v>
      </c>
      <c r="J174" s="11">
        <v>0</v>
      </c>
      <c r="K174" s="11">
        <v>0</v>
      </c>
      <c r="L174" s="11">
        <v>0</v>
      </c>
      <c r="M174" s="11">
        <v>0</v>
      </c>
      <c r="N174" s="11">
        <v>0.5</v>
      </c>
      <c r="O174" s="11">
        <v>0</v>
      </c>
      <c r="P174" s="11">
        <v>0</v>
      </c>
      <c r="Q174" s="11">
        <v>0</v>
      </c>
      <c r="R174" s="11">
        <v>1.5</v>
      </c>
      <c r="S174" s="11">
        <v>0</v>
      </c>
      <c r="T174" s="13">
        <f t="shared" si="0"/>
        <v>2</v>
      </c>
      <c r="U174" s="13">
        <f t="shared" si="1"/>
        <v>11.111111111111111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5">
        <f t="shared" si="2"/>
        <v>0</v>
      </c>
      <c r="AE174" s="15">
        <f t="shared" si="3"/>
        <v>0</v>
      </c>
      <c r="AF174" s="14">
        <v>4</v>
      </c>
      <c r="AG174" s="14">
        <v>4</v>
      </c>
      <c r="AH174" s="14">
        <v>4</v>
      </c>
      <c r="AI174" s="14">
        <v>4</v>
      </c>
      <c r="AJ174" s="14">
        <v>5</v>
      </c>
      <c r="AK174" s="14">
        <v>4</v>
      </c>
      <c r="AL174" s="14">
        <v>4</v>
      </c>
      <c r="AM174" s="14">
        <v>4</v>
      </c>
      <c r="AN174" s="14">
        <v>4</v>
      </c>
      <c r="AO174" s="17">
        <f t="shared" si="4"/>
        <v>37</v>
      </c>
      <c r="AP174" s="17">
        <f t="shared" si="5"/>
        <v>82.222222222222214</v>
      </c>
      <c r="AQ174" s="16">
        <v>1</v>
      </c>
      <c r="AR174" s="16">
        <v>2</v>
      </c>
      <c r="AS174" s="16">
        <v>3</v>
      </c>
      <c r="AT174" s="16">
        <v>1</v>
      </c>
      <c r="AU174" s="16">
        <v>1</v>
      </c>
      <c r="AV174" s="16">
        <v>1</v>
      </c>
      <c r="AW174" s="16">
        <v>1</v>
      </c>
      <c r="AX174" s="16">
        <v>1</v>
      </c>
      <c r="AY174" s="16">
        <v>1</v>
      </c>
      <c r="AZ174" s="16">
        <v>1</v>
      </c>
      <c r="BA174" s="18">
        <f t="shared" si="6"/>
        <v>13</v>
      </c>
      <c r="BB174" s="18">
        <f t="shared" si="7"/>
        <v>26</v>
      </c>
    </row>
    <row r="175" spans="1:54" ht="22.5" customHeight="1" x14ac:dyDescent="0.2">
      <c r="A175" s="9" t="s">
        <v>74</v>
      </c>
      <c r="B175" s="9" t="s">
        <v>54</v>
      </c>
      <c r="C175" s="9" t="s">
        <v>55</v>
      </c>
      <c r="D175" s="1" t="s">
        <v>100</v>
      </c>
      <c r="E175" s="9" t="s">
        <v>85</v>
      </c>
      <c r="F175" s="9" t="s">
        <v>92</v>
      </c>
      <c r="G175" s="9" t="s">
        <v>61</v>
      </c>
      <c r="H175" s="9" t="s">
        <v>57</v>
      </c>
      <c r="I175" s="9" t="s">
        <v>81</v>
      </c>
      <c r="J175" s="11">
        <v>0</v>
      </c>
      <c r="K175" s="11">
        <v>0</v>
      </c>
      <c r="L175" s="11">
        <v>0</v>
      </c>
      <c r="M175" s="11">
        <v>0</v>
      </c>
      <c r="N175" s="11">
        <v>0.5</v>
      </c>
      <c r="O175" s="11">
        <v>0</v>
      </c>
      <c r="P175" s="11">
        <v>0</v>
      </c>
      <c r="Q175" s="11">
        <v>0</v>
      </c>
      <c r="R175" s="11">
        <v>1.5</v>
      </c>
      <c r="S175" s="11">
        <v>0</v>
      </c>
      <c r="T175" s="13">
        <f t="shared" si="0"/>
        <v>2</v>
      </c>
      <c r="U175" s="13">
        <f t="shared" si="1"/>
        <v>11.111111111111111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5">
        <f t="shared" si="2"/>
        <v>0</v>
      </c>
      <c r="AE175" s="15">
        <f t="shared" si="3"/>
        <v>0</v>
      </c>
      <c r="AF175" s="14">
        <v>4</v>
      </c>
      <c r="AG175" s="14">
        <v>4</v>
      </c>
      <c r="AH175" s="14">
        <v>4</v>
      </c>
      <c r="AI175" s="14">
        <v>4</v>
      </c>
      <c r="AJ175" s="14">
        <v>4</v>
      </c>
      <c r="AK175" s="14">
        <v>4</v>
      </c>
      <c r="AL175" s="14">
        <v>4</v>
      </c>
      <c r="AM175" s="14">
        <v>4</v>
      </c>
      <c r="AN175" s="14">
        <v>5</v>
      </c>
      <c r="AO175" s="17">
        <f t="shared" si="4"/>
        <v>37</v>
      </c>
      <c r="AP175" s="17">
        <f t="shared" si="5"/>
        <v>82.222222222222214</v>
      </c>
      <c r="AQ175" s="16">
        <v>1</v>
      </c>
      <c r="AR175" s="16">
        <v>2</v>
      </c>
      <c r="AS175" s="16">
        <v>1</v>
      </c>
      <c r="AT175" s="16">
        <v>1</v>
      </c>
      <c r="AU175" s="16">
        <v>1</v>
      </c>
      <c r="AV175" s="16">
        <v>2</v>
      </c>
      <c r="AW175" s="16">
        <v>1</v>
      </c>
      <c r="AX175" s="16">
        <v>1</v>
      </c>
      <c r="AY175" s="16">
        <v>1</v>
      </c>
      <c r="AZ175" s="16">
        <v>1</v>
      </c>
      <c r="BA175" s="18">
        <f t="shared" si="6"/>
        <v>12</v>
      </c>
      <c r="BB175" s="18">
        <f t="shared" si="7"/>
        <v>24</v>
      </c>
    </row>
    <row r="176" spans="1:54" ht="22.5" customHeight="1" x14ac:dyDescent="0.2">
      <c r="A176" s="9" t="s">
        <v>74</v>
      </c>
      <c r="B176" s="9" t="s">
        <v>68</v>
      </c>
      <c r="C176" s="9" t="s">
        <v>69</v>
      </c>
      <c r="D176" s="1" t="s">
        <v>100</v>
      </c>
      <c r="E176" s="9" t="s">
        <v>60</v>
      </c>
      <c r="F176" s="9" t="s">
        <v>85</v>
      </c>
      <c r="G176" s="9" t="s">
        <v>61</v>
      </c>
      <c r="H176" s="9" t="s">
        <v>57</v>
      </c>
      <c r="I176" s="9" t="s">
        <v>81</v>
      </c>
      <c r="J176" s="11">
        <v>0</v>
      </c>
      <c r="K176" s="11">
        <v>0</v>
      </c>
      <c r="L176" s="11">
        <v>0</v>
      </c>
      <c r="M176" s="11">
        <v>0</v>
      </c>
      <c r="N176" s="11">
        <v>0.5</v>
      </c>
      <c r="O176" s="11">
        <v>0</v>
      </c>
      <c r="P176" s="11">
        <v>0</v>
      </c>
      <c r="Q176" s="11">
        <v>0</v>
      </c>
      <c r="R176" s="11">
        <v>1.5</v>
      </c>
      <c r="S176" s="11">
        <v>0</v>
      </c>
      <c r="T176" s="13">
        <f t="shared" si="0"/>
        <v>2</v>
      </c>
      <c r="U176" s="13">
        <f t="shared" si="1"/>
        <v>11.111111111111111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5">
        <f t="shared" si="2"/>
        <v>0</v>
      </c>
      <c r="AE176" s="15">
        <f t="shared" si="3"/>
        <v>0</v>
      </c>
      <c r="AF176" s="14">
        <v>4</v>
      </c>
      <c r="AG176" s="14">
        <v>5</v>
      </c>
      <c r="AH176" s="14">
        <v>4</v>
      </c>
      <c r="AI176" s="14">
        <v>4</v>
      </c>
      <c r="AJ176" s="14">
        <v>4</v>
      </c>
      <c r="AK176" s="14">
        <v>4</v>
      </c>
      <c r="AL176" s="14">
        <v>4</v>
      </c>
      <c r="AM176" s="14">
        <v>4</v>
      </c>
      <c r="AN176" s="14">
        <v>4</v>
      </c>
      <c r="AO176" s="17">
        <f t="shared" si="4"/>
        <v>37</v>
      </c>
      <c r="AP176" s="17">
        <f t="shared" si="5"/>
        <v>82.222222222222214</v>
      </c>
      <c r="AQ176" s="16">
        <v>1</v>
      </c>
      <c r="AR176" s="16">
        <v>2</v>
      </c>
      <c r="AS176" s="16">
        <v>3</v>
      </c>
      <c r="AT176" s="16">
        <v>1</v>
      </c>
      <c r="AU176" s="16">
        <v>1</v>
      </c>
      <c r="AV176" s="16">
        <v>1</v>
      </c>
      <c r="AW176" s="16">
        <v>1</v>
      </c>
      <c r="AX176" s="16">
        <v>1</v>
      </c>
      <c r="AY176" s="16">
        <v>1</v>
      </c>
      <c r="AZ176" s="16">
        <v>1</v>
      </c>
      <c r="BA176" s="18">
        <f t="shared" si="6"/>
        <v>13</v>
      </c>
      <c r="BB176" s="18">
        <f t="shared" si="7"/>
        <v>26</v>
      </c>
    </row>
    <row r="177" spans="1:54" ht="22.5" customHeight="1" x14ac:dyDescent="0.2">
      <c r="A177" s="9" t="s">
        <v>52</v>
      </c>
      <c r="B177" s="9" t="s">
        <v>54</v>
      </c>
      <c r="C177" s="9" t="s">
        <v>55</v>
      </c>
      <c r="D177" s="1" t="s">
        <v>100</v>
      </c>
      <c r="E177" s="9" t="s">
        <v>85</v>
      </c>
      <c r="F177" s="9" t="s">
        <v>60</v>
      </c>
      <c r="G177" s="9" t="s">
        <v>61</v>
      </c>
      <c r="H177" s="9" t="s">
        <v>57</v>
      </c>
      <c r="I177" s="9" t="s">
        <v>81</v>
      </c>
      <c r="J177" s="11">
        <v>0</v>
      </c>
      <c r="K177" s="11">
        <v>0</v>
      </c>
      <c r="L177" s="11">
        <v>0</v>
      </c>
      <c r="M177" s="11">
        <v>0</v>
      </c>
      <c r="N177" s="11">
        <v>0.5</v>
      </c>
      <c r="O177" s="11">
        <v>0</v>
      </c>
      <c r="P177" s="11">
        <v>0</v>
      </c>
      <c r="Q177" s="11">
        <v>0</v>
      </c>
      <c r="R177" s="11">
        <v>1.5</v>
      </c>
      <c r="S177" s="11">
        <v>0</v>
      </c>
      <c r="T177" s="13">
        <f t="shared" si="0"/>
        <v>2</v>
      </c>
      <c r="U177" s="13">
        <f t="shared" si="1"/>
        <v>11.111111111111111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5">
        <f t="shared" si="2"/>
        <v>0</v>
      </c>
      <c r="AE177" s="15">
        <f t="shared" si="3"/>
        <v>0</v>
      </c>
      <c r="AF177" s="14">
        <v>4</v>
      </c>
      <c r="AG177" s="14">
        <v>4</v>
      </c>
      <c r="AH177" s="14">
        <v>4</v>
      </c>
      <c r="AI177" s="14">
        <v>4</v>
      </c>
      <c r="AJ177" s="14">
        <v>5</v>
      </c>
      <c r="AK177" s="14">
        <v>4</v>
      </c>
      <c r="AL177" s="14">
        <v>4</v>
      </c>
      <c r="AM177" s="14">
        <v>4</v>
      </c>
      <c r="AN177" s="14">
        <v>4</v>
      </c>
      <c r="AO177" s="17">
        <f t="shared" si="4"/>
        <v>37</v>
      </c>
      <c r="AP177" s="17">
        <f t="shared" si="5"/>
        <v>82.222222222222214</v>
      </c>
      <c r="AQ177" s="16">
        <v>1</v>
      </c>
      <c r="AR177" s="16">
        <v>1</v>
      </c>
      <c r="AS177" s="16">
        <v>2</v>
      </c>
      <c r="AT177" s="16">
        <v>2</v>
      </c>
      <c r="AU177" s="16">
        <v>1</v>
      </c>
      <c r="AV177" s="16">
        <v>1</v>
      </c>
      <c r="AW177" s="16">
        <v>1</v>
      </c>
      <c r="AX177" s="16">
        <v>1</v>
      </c>
      <c r="AY177" s="16">
        <v>1</v>
      </c>
      <c r="AZ177" s="16">
        <v>1</v>
      </c>
      <c r="BA177" s="18">
        <f t="shared" si="6"/>
        <v>12</v>
      </c>
      <c r="BB177" s="18">
        <f t="shared" si="7"/>
        <v>24</v>
      </c>
    </row>
    <row r="178" spans="1:54" ht="22.5" customHeight="1" x14ac:dyDescent="0.2">
      <c r="A178" s="9" t="s">
        <v>74</v>
      </c>
      <c r="B178" s="9" t="s">
        <v>54</v>
      </c>
      <c r="C178" s="9" t="s">
        <v>55</v>
      </c>
      <c r="D178" s="1" t="s">
        <v>100</v>
      </c>
      <c r="E178" s="9" t="s">
        <v>85</v>
      </c>
      <c r="F178" s="9" t="s">
        <v>85</v>
      </c>
      <c r="G178" s="9" t="s">
        <v>95</v>
      </c>
      <c r="H178" s="9" t="s">
        <v>57</v>
      </c>
      <c r="I178" s="9" t="s">
        <v>62</v>
      </c>
      <c r="J178" s="11">
        <v>0</v>
      </c>
      <c r="K178" s="11">
        <v>0</v>
      </c>
      <c r="L178" s="11">
        <v>0</v>
      </c>
      <c r="M178" s="11">
        <v>0</v>
      </c>
      <c r="N178" s="11">
        <v>0.5</v>
      </c>
      <c r="O178" s="11">
        <v>0</v>
      </c>
      <c r="P178" s="11">
        <v>0</v>
      </c>
      <c r="Q178" s="11">
        <v>0</v>
      </c>
      <c r="R178" s="11">
        <v>1.5</v>
      </c>
      <c r="S178" s="11">
        <v>0</v>
      </c>
      <c r="T178" s="13">
        <f t="shared" si="0"/>
        <v>2</v>
      </c>
      <c r="U178" s="13">
        <f t="shared" si="1"/>
        <v>11.111111111111111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5">
        <f t="shared" si="2"/>
        <v>0</v>
      </c>
      <c r="AE178" s="15">
        <f t="shared" si="3"/>
        <v>0</v>
      </c>
      <c r="AF178" s="14">
        <v>4</v>
      </c>
      <c r="AG178" s="14">
        <v>4</v>
      </c>
      <c r="AH178" s="14">
        <v>4</v>
      </c>
      <c r="AI178" s="14">
        <v>5</v>
      </c>
      <c r="AJ178" s="14">
        <v>4</v>
      </c>
      <c r="AK178" s="14">
        <v>4</v>
      </c>
      <c r="AL178" s="14">
        <v>4</v>
      </c>
      <c r="AM178" s="14">
        <v>4</v>
      </c>
      <c r="AN178" s="14">
        <v>4</v>
      </c>
      <c r="AO178" s="17">
        <f t="shared" si="4"/>
        <v>37</v>
      </c>
      <c r="AP178" s="17">
        <f t="shared" si="5"/>
        <v>82.222222222222214</v>
      </c>
      <c r="AQ178" s="16">
        <v>1</v>
      </c>
      <c r="AR178" s="16">
        <v>2</v>
      </c>
      <c r="AS178" s="16">
        <v>1</v>
      </c>
      <c r="AT178" s="16">
        <v>1</v>
      </c>
      <c r="AU178" s="16">
        <v>1</v>
      </c>
      <c r="AV178" s="16">
        <v>2</v>
      </c>
      <c r="AW178" s="16">
        <v>3</v>
      </c>
      <c r="AX178" s="16">
        <v>2</v>
      </c>
      <c r="AY178" s="16">
        <v>1</v>
      </c>
      <c r="AZ178" s="16">
        <v>1</v>
      </c>
      <c r="BA178" s="18">
        <f t="shared" si="6"/>
        <v>15</v>
      </c>
      <c r="BB178" s="18">
        <f t="shared" si="7"/>
        <v>30</v>
      </c>
    </row>
    <row r="179" spans="1:54" ht="22.5" customHeight="1" x14ac:dyDescent="0.2">
      <c r="A179" s="9" t="s">
        <v>67</v>
      </c>
      <c r="B179" s="9" t="s">
        <v>68</v>
      </c>
      <c r="C179" s="9" t="s">
        <v>69</v>
      </c>
      <c r="D179" s="1" t="s">
        <v>100</v>
      </c>
      <c r="E179" s="9" t="s">
        <v>85</v>
      </c>
      <c r="F179" s="9" t="s">
        <v>60</v>
      </c>
      <c r="G179" s="9" t="s">
        <v>61</v>
      </c>
      <c r="H179" s="9" t="s">
        <v>86</v>
      </c>
      <c r="I179" s="9" t="s">
        <v>81</v>
      </c>
      <c r="J179" s="11">
        <v>0</v>
      </c>
      <c r="K179" s="11">
        <v>0</v>
      </c>
      <c r="L179" s="11">
        <v>0</v>
      </c>
      <c r="M179" s="11">
        <v>0</v>
      </c>
      <c r="N179" s="11">
        <v>0.5</v>
      </c>
      <c r="O179" s="11">
        <v>0</v>
      </c>
      <c r="P179" s="11">
        <v>0</v>
      </c>
      <c r="Q179" s="11">
        <v>0</v>
      </c>
      <c r="R179" s="11">
        <v>1.5</v>
      </c>
      <c r="S179" s="11">
        <v>0</v>
      </c>
      <c r="T179" s="13">
        <f t="shared" si="0"/>
        <v>2</v>
      </c>
      <c r="U179" s="13">
        <f t="shared" si="1"/>
        <v>11.111111111111111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5">
        <f t="shared" si="2"/>
        <v>0</v>
      </c>
      <c r="AE179" s="15">
        <f t="shared" si="3"/>
        <v>0</v>
      </c>
      <c r="AF179" s="14">
        <v>4</v>
      </c>
      <c r="AG179" s="14">
        <v>5</v>
      </c>
      <c r="AH179" s="14">
        <v>4</v>
      </c>
      <c r="AI179" s="14">
        <v>4</v>
      </c>
      <c r="AJ179" s="14">
        <v>4</v>
      </c>
      <c r="AK179" s="14">
        <v>5</v>
      </c>
      <c r="AL179" s="14">
        <v>4</v>
      </c>
      <c r="AM179" s="14">
        <v>4</v>
      </c>
      <c r="AN179" s="14">
        <v>4</v>
      </c>
      <c r="AO179" s="17">
        <f t="shared" si="4"/>
        <v>38</v>
      </c>
      <c r="AP179" s="17">
        <f t="shared" si="5"/>
        <v>84.444444444444443</v>
      </c>
      <c r="AQ179" s="16">
        <v>1</v>
      </c>
      <c r="AR179" s="16">
        <v>3</v>
      </c>
      <c r="AS179" s="16">
        <v>2</v>
      </c>
      <c r="AT179" s="16">
        <v>1</v>
      </c>
      <c r="AU179" s="16">
        <v>1</v>
      </c>
      <c r="AV179" s="16">
        <v>1</v>
      </c>
      <c r="AW179" s="16">
        <v>1</v>
      </c>
      <c r="AX179" s="16">
        <v>1</v>
      </c>
      <c r="AY179" s="16">
        <v>1</v>
      </c>
      <c r="AZ179" s="16">
        <v>1</v>
      </c>
      <c r="BA179" s="18">
        <f t="shared" si="6"/>
        <v>13</v>
      </c>
      <c r="BB179" s="18">
        <f t="shared" si="7"/>
        <v>26</v>
      </c>
    </row>
    <row r="180" spans="1:54" ht="22.5" customHeight="1" x14ac:dyDescent="0.2">
      <c r="A180" s="9" t="s">
        <v>67</v>
      </c>
      <c r="B180" s="9" t="s">
        <v>54</v>
      </c>
      <c r="C180" s="9" t="s">
        <v>55</v>
      </c>
      <c r="D180" s="1" t="s">
        <v>100</v>
      </c>
      <c r="E180" s="9" t="s">
        <v>92</v>
      </c>
      <c r="F180" s="9" t="s">
        <v>85</v>
      </c>
      <c r="G180" s="9" t="s">
        <v>95</v>
      </c>
      <c r="H180" s="9" t="s">
        <v>57</v>
      </c>
      <c r="I180" s="9" t="s">
        <v>62</v>
      </c>
      <c r="J180" s="11">
        <v>0</v>
      </c>
      <c r="K180" s="11">
        <v>1</v>
      </c>
      <c r="L180" s="11">
        <v>0</v>
      </c>
      <c r="M180" s="11">
        <v>1</v>
      </c>
      <c r="N180" s="11">
        <v>0.5</v>
      </c>
      <c r="O180" s="11">
        <v>0</v>
      </c>
      <c r="P180" s="11">
        <v>0</v>
      </c>
      <c r="Q180" s="11">
        <v>0</v>
      </c>
      <c r="R180" s="11">
        <v>1.5</v>
      </c>
      <c r="S180" s="11">
        <v>0.5</v>
      </c>
      <c r="T180" s="13">
        <f t="shared" si="0"/>
        <v>4.5</v>
      </c>
      <c r="U180" s="13">
        <f t="shared" si="1"/>
        <v>25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5">
        <f t="shared" si="2"/>
        <v>0</v>
      </c>
      <c r="AE180" s="15">
        <f t="shared" si="3"/>
        <v>0</v>
      </c>
      <c r="AF180" s="14">
        <v>4</v>
      </c>
      <c r="AG180" s="14">
        <v>5</v>
      </c>
      <c r="AH180" s="14">
        <v>4</v>
      </c>
      <c r="AI180" s="14">
        <v>4</v>
      </c>
      <c r="AJ180" s="14">
        <v>4</v>
      </c>
      <c r="AK180" s="14">
        <v>5</v>
      </c>
      <c r="AL180" s="14">
        <v>4</v>
      </c>
      <c r="AM180" s="14">
        <v>4</v>
      </c>
      <c r="AN180" s="14">
        <v>4</v>
      </c>
      <c r="AO180" s="17">
        <f t="shared" si="4"/>
        <v>38</v>
      </c>
      <c r="AP180" s="17">
        <f t="shared" si="5"/>
        <v>84.444444444444443</v>
      </c>
      <c r="AQ180" s="16">
        <v>1</v>
      </c>
      <c r="AR180" s="16">
        <v>2</v>
      </c>
      <c r="AS180" s="16">
        <v>3</v>
      </c>
      <c r="AT180" s="16">
        <v>1</v>
      </c>
      <c r="AU180" s="16">
        <v>1</v>
      </c>
      <c r="AV180" s="16">
        <v>1</v>
      </c>
      <c r="AW180" s="16">
        <v>1</v>
      </c>
      <c r="AX180" s="16">
        <v>1</v>
      </c>
      <c r="AY180" s="16">
        <v>1</v>
      </c>
      <c r="AZ180" s="16">
        <v>1</v>
      </c>
      <c r="BA180" s="18">
        <f t="shared" si="6"/>
        <v>13</v>
      </c>
      <c r="BB180" s="18">
        <f t="shared" si="7"/>
        <v>26</v>
      </c>
    </row>
    <row r="181" spans="1:54" ht="22.5" customHeight="1" x14ac:dyDescent="0.2">
      <c r="A181" s="9" t="s">
        <v>93</v>
      </c>
      <c r="B181" s="9" t="s">
        <v>68</v>
      </c>
      <c r="C181" s="9" t="s">
        <v>69</v>
      </c>
      <c r="D181" s="1" t="s">
        <v>100</v>
      </c>
      <c r="E181" s="9" t="s">
        <v>92</v>
      </c>
      <c r="F181" s="9" t="s">
        <v>85</v>
      </c>
      <c r="G181" s="9" t="s">
        <v>61</v>
      </c>
      <c r="H181" s="9" t="s">
        <v>57</v>
      </c>
      <c r="I181" s="9" t="s">
        <v>81</v>
      </c>
      <c r="J181" s="11">
        <v>0</v>
      </c>
      <c r="K181" s="11">
        <v>0</v>
      </c>
      <c r="L181" s="11">
        <v>0</v>
      </c>
      <c r="M181" s="11">
        <v>0</v>
      </c>
      <c r="N181" s="11">
        <v>0.5</v>
      </c>
      <c r="O181" s="11">
        <v>0</v>
      </c>
      <c r="P181" s="11">
        <v>0</v>
      </c>
      <c r="Q181" s="11">
        <v>0</v>
      </c>
      <c r="R181" s="11">
        <v>1.5</v>
      </c>
      <c r="S181" s="11">
        <v>0</v>
      </c>
      <c r="T181" s="13">
        <f t="shared" si="0"/>
        <v>2</v>
      </c>
      <c r="U181" s="13">
        <f t="shared" si="1"/>
        <v>11.111111111111111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5">
        <f t="shared" si="2"/>
        <v>0</v>
      </c>
      <c r="AE181" s="15">
        <f t="shared" si="3"/>
        <v>0</v>
      </c>
      <c r="AF181" s="14">
        <v>4</v>
      </c>
      <c r="AG181" s="14">
        <v>4</v>
      </c>
      <c r="AH181" s="14">
        <v>5</v>
      </c>
      <c r="AI181" s="14">
        <v>4</v>
      </c>
      <c r="AJ181" s="14">
        <v>4</v>
      </c>
      <c r="AK181" s="14">
        <v>4</v>
      </c>
      <c r="AL181" s="14">
        <v>4</v>
      </c>
      <c r="AM181" s="14">
        <v>4</v>
      </c>
      <c r="AN181" s="14">
        <v>4</v>
      </c>
      <c r="AO181" s="17">
        <f t="shared" si="4"/>
        <v>37</v>
      </c>
      <c r="AP181" s="17">
        <f t="shared" si="5"/>
        <v>82.222222222222214</v>
      </c>
      <c r="AQ181" s="16">
        <v>1</v>
      </c>
      <c r="AR181" s="16">
        <v>2</v>
      </c>
      <c r="AS181" s="16">
        <v>1</v>
      </c>
      <c r="AT181" s="16">
        <v>1</v>
      </c>
      <c r="AU181" s="16">
        <v>1</v>
      </c>
      <c r="AV181" s="16">
        <v>1</v>
      </c>
      <c r="AW181" s="16">
        <v>1</v>
      </c>
      <c r="AX181" s="16">
        <v>1</v>
      </c>
      <c r="AY181" s="16">
        <v>1</v>
      </c>
      <c r="AZ181" s="16">
        <v>1</v>
      </c>
      <c r="BA181" s="18">
        <f t="shared" si="6"/>
        <v>11</v>
      </c>
      <c r="BB181" s="18">
        <f t="shared" si="7"/>
        <v>22</v>
      </c>
    </row>
    <row r="182" spans="1:54" ht="22.5" customHeight="1" x14ac:dyDescent="0.2">
      <c r="A182" s="9" t="s">
        <v>52</v>
      </c>
      <c r="B182" s="9" t="s">
        <v>54</v>
      </c>
      <c r="C182" s="9" t="s">
        <v>55</v>
      </c>
      <c r="D182" s="1" t="s">
        <v>100</v>
      </c>
      <c r="E182" s="9" t="s">
        <v>85</v>
      </c>
      <c r="F182" s="9" t="s">
        <v>60</v>
      </c>
      <c r="G182" s="9" t="s">
        <v>61</v>
      </c>
      <c r="H182" s="9" t="s">
        <v>57</v>
      </c>
      <c r="I182" s="9" t="s">
        <v>62</v>
      </c>
      <c r="J182" s="11">
        <v>0</v>
      </c>
      <c r="K182" s="11">
        <v>0</v>
      </c>
      <c r="L182" s="11">
        <v>0</v>
      </c>
      <c r="M182" s="11">
        <v>0</v>
      </c>
      <c r="N182" s="11">
        <v>0.5</v>
      </c>
      <c r="O182" s="11">
        <v>0</v>
      </c>
      <c r="P182" s="11">
        <v>0</v>
      </c>
      <c r="Q182" s="11">
        <v>0</v>
      </c>
      <c r="R182" s="11">
        <v>1.5</v>
      </c>
      <c r="S182" s="11">
        <v>0</v>
      </c>
      <c r="T182" s="13">
        <f t="shared" si="0"/>
        <v>2</v>
      </c>
      <c r="U182" s="13">
        <f t="shared" si="1"/>
        <v>11.111111111111111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5">
        <f t="shared" si="2"/>
        <v>0</v>
      </c>
      <c r="AE182" s="15">
        <f t="shared" si="3"/>
        <v>0</v>
      </c>
      <c r="AF182" s="14">
        <v>4</v>
      </c>
      <c r="AG182" s="14">
        <v>5</v>
      </c>
      <c r="AH182" s="14">
        <v>4</v>
      </c>
      <c r="AI182" s="14">
        <v>5</v>
      </c>
      <c r="AJ182" s="14">
        <v>4</v>
      </c>
      <c r="AK182" s="14">
        <v>4</v>
      </c>
      <c r="AL182" s="14">
        <v>4</v>
      </c>
      <c r="AM182" s="14">
        <v>4</v>
      </c>
      <c r="AN182" s="14">
        <v>4</v>
      </c>
      <c r="AO182" s="17">
        <f t="shared" si="4"/>
        <v>38</v>
      </c>
      <c r="AP182" s="17">
        <f t="shared" si="5"/>
        <v>84.444444444444443</v>
      </c>
      <c r="AQ182" s="16">
        <v>1</v>
      </c>
      <c r="AR182" s="16">
        <v>1</v>
      </c>
      <c r="AS182" s="16">
        <v>3</v>
      </c>
      <c r="AT182" s="16">
        <v>1</v>
      </c>
      <c r="AU182" s="16">
        <v>1</v>
      </c>
      <c r="AV182" s="16">
        <v>1</v>
      </c>
      <c r="AW182" s="16">
        <v>2</v>
      </c>
      <c r="AX182" s="16">
        <v>1</v>
      </c>
      <c r="AY182" s="16">
        <v>1</v>
      </c>
      <c r="AZ182" s="16">
        <v>1</v>
      </c>
      <c r="BA182" s="18">
        <f t="shared" si="6"/>
        <v>13</v>
      </c>
      <c r="BB182" s="18">
        <f t="shared" si="7"/>
        <v>26</v>
      </c>
    </row>
    <row r="183" spans="1:54" ht="22.5" customHeight="1" x14ac:dyDescent="0.2">
      <c r="A183" s="9" t="s">
        <v>52</v>
      </c>
      <c r="B183" s="9" t="s">
        <v>54</v>
      </c>
      <c r="C183" s="9" t="s">
        <v>55</v>
      </c>
      <c r="D183" s="1" t="s">
        <v>100</v>
      </c>
      <c r="E183" s="9" t="s">
        <v>85</v>
      </c>
      <c r="F183" s="9" t="s">
        <v>85</v>
      </c>
      <c r="G183" s="9" t="s">
        <v>95</v>
      </c>
      <c r="H183" s="9" t="s">
        <v>57</v>
      </c>
      <c r="I183" s="9" t="s">
        <v>81</v>
      </c>
      <c r="J183" s="11">
        <v>0</v>
      </c>
      <c r="K183" s="11">
        <v>0</v>
      </c>
      <c r="L183" s="11">
        <v>0</v>
      </c>
      <c r="M183" s="11">
        <v>0</v>
      </c>
      <c r="N183" s="11">
        <v>0.5</v>
      </c>
      <c r="O183" s="11">
        <v>0</v>
      </c>
      <c r="P183" s="11">
        <v>0</v>
      </c>
      <c r="Q183" s="11">
        <v>0</v>
      </c>
      <c r="R183" s="11">
        <v>1.5</v>
      </c>
      <c r="S183" s="11">
        <v>0</v>
      </c>
      <c r="T183" s="13">
        <f t="shared" si="0"/>
        <v>2</v>
      </c>
      <c r="U183" s="13">
        <f t="shared" si="1"/>
        <v>11.111111111111111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5">
        <f t="shared" si="2"/>
        <v>0</v>
      </c>
      <c r="AE183" s="15">
        <f t="shared" si="3"/>
        <v>0</v>
      </c>
      <c r="AF183" s="14">
        <v>5</v>
      </c>
      <c r="AG183" s="14">
        <v>4</v>
      </c>
      <c r="AH183" s="14">
        <v>4</v>
      </c>
      <c r="AI183" s="14">
        <v>4</v>
      </c>
      <c r="AJ183" s="14">
        <v>4</v>
      </c>
      <c r="AK183" s="14">
        <v>4</v>
      </c>
      <c r="AL183" s="14">
        <v>5</v>
      </c>
      <c r="AM183" s="14">
        <v>4</v>
      </c>
      <c r="AN183" s="14">
        <v>4</v>
      </c>
      <c r="AO183" s="17">
        <f t="shared" si="4"/>
        <v>38</v>
      </c>
      <c r="AP183" s="17">
        <f t="shared" si="5"/>
        <v>84.444444444444443</v>
      </c>
      <c r="AQ183" s="16">
        <v>1</v>
      </c>
      <c r="AR183" s="16">
        <v>2</v>
      </c>
      <c r="AS183" s="16">
        <v>1</v>
      </c>
      <c r="AT183" s="16">
        <v>1</v>
      </c>
      <c r="AU183" s="16">
        <v>1</v>
      </c>
      <c r="AV183" s="16">
        <v>1</v>
      </c>
      <c r="AW183" s="16">
        <v>1</v>
      </c>
      <c r="AX183" s="16">
        <v>3</v>
      </c>
      <c r="AY183" s="16">
        <v>1</v>
      </c>
      <c r="AZ183" s="16">
        <v>1</v>
      </c>
      <c r="BA183" s="18">
        <f t="shared" si="6"/>
        <v>13</v>
      </c>
      <c r="BB183" s="18">
        <f t="shared" si="7"/>
        <v>26</v>
      </c>
    </row>
    <row r="184" spans="1:54" ht="22.5" customHeight="1" x14ac:dyDescent="0.2">
      <c r="A184" s="9" t="s">
        <v>74</v>
      </c>
      <c r="B184" s="9" t="s">
        <v>68</v>
      </c>
      <c r="C184" s="9" t="s">
        <v>55</v>
      </c>
      <c r="D184" s="1" t="s">
        <v>100</v>
      </c>
      <c r="E184" s="9" t="s">
        <v>92</v>
      </c>
      <c r="F184" s="9" t="s">
        <v>85</v>
      </c>
      <c r="G184" s="9" t="s">
        <v>61</v>
      </c>
      <c r="H184" s="9" t="s">
        <v>57</v>
      </c>
      <c r="I184" s="9" t="s">
        <v>81</v>
      </c>
      <c r="J184" s="11">
        <v>0</v>
      </c>
      <c r="K184" s="11">
        <v>0</v>
      </c>
      <c r="L184" s="11">
        <v>0</v>
      </c>
      <c r="M184" s="11">
        <v>0</v>
      </c>
      <c r="N184" s="11">
        <v>0.5</v>
      </c>
      <c r="O184" s="11">
        <v>0</v>
      </c>
      <c r="P184" s="11">
        <v>0</v>
      </c>
      <c r="Q184" s="11">
        <v>0</v>
      </c>
      <c r="R184" s="11">
        <v>1.5</v>
      </c>
      <c r="S184" s="11">
        <v>0</v>
      </c>
      <c r="T184" s="13">
        <f t="shared" si="0"/>
        <v>2</v>
      </c>
      <c r="U184" s="13">
        <f t="shared" si="1"/>
        <v>11.111111111111111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5">
        <f t="shared" si="2"/>
        <v>0</v>
      </c>
      <c r="AE184" s="15">
        <f t="shared" si="3"/>
        <v>0</v>
      </c>
      <c r="AF184" s="14">
        <v>5</v>
      </c>
      <c r="AG184" s="14">
        <v>4</v>
      </c>
      <c r="AH184" s="14">
        <v>4</v>
      </c>
      <c r="AI184" s="14">
        <v>4</v>
      </c>
      <c r="AJ184" s="14">
        <v>4</v>
      </c>
      <c r="AK184" s="14">
        <v>4</v>
      </c>
      <c r="AL184" s="14">
        <v>4</v>
      </c>
      <c r="AM184" s="14">
        <v>4</v>
      </c>
      <c r="AN184" s="14">
        <v>4</v>
      </c>
      <c r="AO184" s="17">
        <f t="shared" si="4"/>
        <v>37</v>
      </c>
      <c r="AP184" s="17">
        <f t="shared" si="5"/>
        <v>82.222222222222214</v>
      </c>
      <c r="AQ184" s="16">
        <v>1</v>
      </c>
      <c r="AR184" s="16">
        <v>1</v>
      </c>
      <c r="AS184" s="16">
        <v>2</v>
      </c>
      <c r="AT184" s="16">
        <v>1</v>
      </c>
      <c r="AU184" s="16">
        <v>1</v>
      </c>
      <c r="AV184" s="16">
        <v>1</v>
      </c>
      <c r="AW184" s="16">
        <v>1</v>
      </c>
      <c r="AX184" s="16">
        <v>1</v>
      </c>
      <c r="AY184" s="16">
        <v>1</v>
      </c>
      <c r="AZ184" s="16">
        <v>1</v>
      </c>
      <c r="BA184" s="18">
        <f t="shared" si="6"/>
        <v>11</v>
      </c>
      <c r="BB184" s="18">
        <f t="shared" si="7"/>
        <v>22</v>
      </c>
    </row>
    <row r="185" spans="1:54" ht="22.5" customHeight="1" x14ac:dyDescent="0.2">
      <c r="A185" s="9" t="s">
        <v>74</v>
      </c>
      <c r="B185" s="9" t="s">
        <v>68</v>
      </c>
      <c r="C185" s="9" t="s">
        <v>55</v>
      </c>
      <c r="D185" s="1" t="s">
        <v>100</v>
      </c>
      <c r="E185" s="9" t="s">
        <v>85</v>
      </c>
      <c r="F185" s="9" t="s">
        <v>60</v>
      </c>
      <c r="G185" s="9" t="s">
        <v>61</v>
      </c>
      <c r="H185" s="9" t="s">
        <v>57</v>
      </c>
      <c r="I185" s="9" t="s">
        <v>81</v>
      </c>
      <c r="J185" s="11">
        <v>0</v>
      </c>
      <c r="K185" s="11">
        <v>0</v>
      </c>
      <c r="L185" s="11">
        <v>0</v>
      </c>
      <c r="M185" s="11">
        <v>0</v>
      </c>
      <c r="N185" s="11">
        <v>0.5</v>
      </c>
      <c r="O185" s="11">
        <v>0</v>
      </c>
      <c r="P185" s="11">
        <v>0</v>
      </c>
      <c r="Q185" s="11">
        <v>0</v>
      </c>
      <c r="R185" s="11">
        <v>1.5</v>
      </c>
      <c r="S185" s="11">
        <v>0</v>
      </c>
      <c r="T185" s="13">
        <f t="shared" si="0"/>
        <v>2</v>
      </c>
      <c r="U185" s="13">
        <f t="shared" si="1"/>
        <v>11.111111111111111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5">
        <f t="shared" si="2"/>
        <v>0</v>
      </c>
      <c r="AE185" s="15">
        <f t="shared" si="3"/>
        <v>0</v>
      </c>
      <c r="AF185" s="14">
        <v>5</v>
      </c>
      <c r="AG185" s="14">
        <v>4</v>
      </c>
      <c r="AH185" s="14">
        <v>4</v>
      </c>
      <c r="AI185" s="14">
        <v>4</v>
      </c>
      <c r="AJ185" s="14">
        <v>4</v>
      </c>
      <c r="AK185" s="14">
        <v>4</v>
      </c>
      <c r="AL185" s="14">
        <v>4</v>
      </c>
      <c r="AM185" s="14">
        <v>5</v>
      </c>
      <c r="AN185" s="14">
        <v>4</v>
      </c>
      <c r="AO185" s="17">
        <f t="shared" si="4"/>
        <v>38</v>
      </c>
      <c r="AP185" s="17">
        <f t="shared" si="5"/>
        <v>84.444444444444443</v>
      </c>
      <c r="AQ185" s="16">
        <v>1</v>
      </c>
      <c r="AR185" s="16">
        <v>1</v>
      </c>
      <c r="AS185" s="16">
        <v>1</v>
      </c>
      <c r="AT185" s="16">
        <v>1</v>
      </c>
      <c r="AU185" s="16">
        <v>1</v>
      </c>
      <c r="AV185" s="16">
        <v>1</v>
      </c>
      <c r="AW185" s="16">
        <v>1</v>
      </c>
      <c r="AX185" s="16">
        <v>1</v>
      </c>
      <c r="AY185" s="16">
        <v>1</v>
      </c>
      <c r="AZ185" s="16">
        <v>1</v>
      </c>
      <c r="BA185" s="18">
        <f t="shared" si="6"/>
        <v>10</v>
      </c>
      <c r="BB185" s="18">
        <f t="shared" si="7"/>
        <v>20</v>
      </c>
    </row>
    <row r="186" spans="1:54" ht="22.5" customHeight="1" x14ac:dyDescent="0.2">
      <c r="A186" s="9" t="s">
        <v>67</v>
      </c>
      <c r="B186" s="9" t="s">
        <v>54</v>
      </c>
      <c r="C186" s="9" t="s">
        <v>69</v>
      </c>
      <c r="D186" s="1" t="s">
        <v>100</v>
      </c>
      <c r="E186" s="9" t="s">
        <v>92</v>
      </c>
      <c r="F186" s="9" t="s">
        <v>85</v>
      </c>
      <c r="G186" s="9" t="s">
        <v>95</v>
      </c>
      <c r="H186" s="9" t="s">
        <v>57</v>
      </c>
      <c r="I186" s="9" t="s">
        <v>62</v>
      </c>
      <c r="J186" s="11">
        <v>0</v>
      </c>
      <c r="K186" s="11">
        <v>0</v>
      </c>
      <c r="L186" s="11">
        <v>0</v>
      </c>
      <c r="M186" s="11">
        <v>0</v>
      </c>
      <c r="N186" s="11">
        <v>0.5</v>
      </c>
      <c r="O186" s="11">
        <v>0</v>
      </c>
      <c r="P186" s="11">
        <v>0</v>
      </c>
      <c r="Q186" s="11">
        <v>0</v>
      </c>
      <c r="R186" s="11">
        <v>1.5</v>
      </c>
      <c r="S186" s="11">
        <v>0</v>
      </c>
      <c r="T186" s="13">
        <f t="shared" si="0"/>
        <v>2</v>
      </c>
      <c r="U186" s="13">
        <f t="shared" si="1"/>
        <v>11.111111111111111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5">
        <f t="shared" si="2"/>
        <v>0</v>
      </c>
      <c r="AE186" s="15">
        <f t="shared" si="3"/>
        <v>0</v>
      </c>
      <c r="AF186" s="14">
        <v>4</v>
      </c>
      <c r="AG186" s="14">
        <v>5</v>
      </c>
      <c r="AH186" s="14">
        <v>4</v>
      </c>
      <c r="AI186" s="14">
        <v>4</v>
      </c>
      <c r="AJ186" s="14">
        <v>4</v>
      </c>
      <c r="AK186" s="14">
        <v>4</v>
      </c>
      <c r="AL186" s="14">
        <v>4</v>
      </c>
      <c r="AM186" s="14">
        <v>4</v>
      </c>
      <c r="AN186" s="14">
        <v>4</v>
      </c>
      <c r="AO186" s="17">
        <f t="shared" si="4"/>
        <v>37</v>
      </c>
      <c r="AP186" s="17">
        <f t="shared" si="5"/>
        <v>82.222222222222214</v>
      </c>
      <c r="AQ186" s="16">
        <v>1</v>
      </c>
      <c r="AR186" s="16">
        <v>1</v>
      </c>
      <c r="AS186" s="16">
        <v>2</v>
      </c>
      <c r="AT186" s="16">
        <v>1</v>
      </c>
      <c r="AU186" s="16">
        <v>1</v>
      </c>
      <c r="AV186" s="16">
        <v>1</v>
      </c>
      <c r="AW186" s="16">
        <v>1</v>
      </c>
      <c r="AX186" s="16">
        <v>1</v>
      </c>
      <c r="AY186" s="16">
        <v>1</v>
      </c>
      <c r="AZ186" s="16">
        <v>1</v>
      </c>
      <c r="BA186" s="18">
        <f t="shared" si="6"/>
        <v>11</v>
      </c>
      <c r="BB186" s="18">
        <f t="shared" si="7"/>
        <v>22</v>
      </c>
    </row>
    <row r="187" spans="1:54" ht="22.5" customHeight="1" x14ac:dyDescent="0.2">
      <c r="A187" s="9" t="s">
        <v>93</v>
      </c>
      <c r="B187" s="9" t="s">
        <v>54</v>
      </c>
      <c r="C187" s="9" t="s">
        <v>69</v>
      </c>
      <c r="D187" s="1" t="s">
        <v>100</v>
      </c>
      <c r="E187" s="9" t="s">
        <v>92</v>
      </c>
      <c r="F187" s="9" t="s">
        <v>92</v>
      </c>
      <c r="G187" s="9" t="s">
        <v>95</v>
      </c>
      <c r="H187" s="9" t="s">
        <v>57</v>
      </c>
      <c r="I187" s="9" t="s">
        <v>81</v>
      </c>
      <c r="J187" s="11">
        <v>0</v>
      </c>
      <c r="K187" s="11">
        <v>0</v>
      </c>
      <c r="L187" s="11">
        <v>0</v>
      </c>
      <c r="M187" s="11">
        <v>0</v>
      </c>
      <c r="N187" s="11">
        <v>0.5</v>
      </c>
      <c r="O187" s="11">
        <v>0</v>
      </c>
      <c r="P187" s="11">
        <v>0</v>
      </c>
      <c r="Q187" s="11">
        <v>0</v>
      </c>
      <c r="R187" s="11">
        <v>1.5</v>
      </c>
      <c r="S187" s="11">
        <v>0</v>
      </c>
      <c r="T187" s="13">
        <f t="shared" si="0"/>
        <v>2</v>
      </c>
      <c r="U187" s="13">
        <f t="shared" si="1"/>
        <v>11.111111111111111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5">
        <f t="shared" si="2"/>
        <v>0</v>
      </c>
      <c r="AE187" s="15">
        <f t="shared" si="3"/>
        <v>0</v>
      </c>
      <c r="AF187" s="14">
        <v>4</v>
      </c>
      <c r="AG187" s="14">
        <v>4</v>
      </c>
      <c r="AH187" s="14">
        <v>5</v>
      </c>
      <c r="AI187" s="14">
        <v>4</v>
      </c>
      <c r="AJ187" s="14">
        <v>4</v>
      </c>
      <c r="AK187" s="14">
        <v>4</v>
      </c>
      <c r="AL187" s="14">
        <v>4</v>
      </c>
      <c r="AM187" s="14">
        <v>4</v>
      </c>
      <c r="AN187" s="14">
        <v>4</v>
      </c>
      <c r="AO187" s="17">
        <f t="shared" si="4"/>
        <v>37</v>
      </c>
      <c r="AP187" s="17">
        <f t="shared" si="5"/>
        <v>82.222222222222214</v>
      </c>
      <c r="AQ187" s="16">
        <v>1</v>
      </c>
      <c r="AR187" s="16">
        <v>1</v>
      </c>
      <c r="AS187" s="16">
        <v>1</v>
      </c>
      <c r="AT187" s="16">
        <v>2</v>
      </c>
      <c r="AU187" s="16">
        <v>1</v>
      </c>
      <c r="AV187" s="16">
        <v>3</v>
      </c>
      <c r="AW187" s="16">
        <v>1</v>
      </c>
      <c r="AX187" s="16">
        <v>1</v>
      </c>
      <c r="AY187" s="16">
        <v>1</v>
      </c>
      <c r="AZ187" s="16">
        <v>1</v>
      </c>
      <c r="BA187" s="18">
        <f t="shared" si="6"/>
        <v>13</v>
      </c>
      <c r="BB187" s="18">
        <f t="shared" si="7"/>
        <v>26</v>
      </c>
    </row>
    <row r="188" spans="1:54" ht="22.5" customHeight="1" x14ac:dyDescent="0.2">
      <c r="A188" s="9" t="s">
        <v>74</v>
      </c>
      <c r="B188" s="9" t="s">
        <v>68</v>
      </c>
      <c r="C188" s="9" t="s">
        <v>55</v>
      </c>
      <c r="D188" s="1" t="s">
        <v>100</v>
      </c>
      <c r="E188" s="9" t="s">
        <v>92</v>
      </c>
      <c r="F188" s="9" t="s">
        <v>60</v>
      </c>
      <c r="G188" s="9" t="s">
        <v>61</v>
      </c>
      <c r="H188" s="9" t="s">
        <v>57</v>
      </c>
      <c r="I188" s="9" t="s">
        <v>62</v>
      </c>
      <c r="J188" s="11">
        <v>0</v>
      </c>
      <c r="K188" s="11">
        <v>0</v>
      </c>
      <c r="L188" s="11">
        <v>0</v>
      </c>
      <c r="M188" s="11">
        <v>0</v>
      </c>
      <c r="N188" s="11">
        <v>0.5</v>
      </c>
      <c r="O188" s="11">
        <v>0</v>
      </c>
      <c r="P188" s="11">
        <v>0</v>
      </c>
      <c r="Q188" s="11">
        <v>0</v>
      </c>
      <c r="R188" s="11">
        <v>1.5</v>
      </c>
      <c r="S188" s="11">
        <v>0</v>
      </c>
      <c r="T188" s="13">
        <f t="shared" si="0"/>
        <v>2</v>
      </c>
      <c r="U188" s="13">
        <f t="shared" si="1"/>
        <v>11.111111111111111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5">
        <f t="shared" si="2"/>
        <v>0</v>
      </c>
      <c r="AE188" s="15">
        <f t="shared" si="3"/>
        <v>0</v>
      </c>
      <c r="AF188" s="14">
        <v>4</v>
      </c>
      <c r="AG188" s="14">
        <v>5</v>
      </c>
      <c r="AH188" s="14">
        <v>4</v>
      </c>
      <c r="AI188" s="14">
        <v>4</v>
      </c>
      <c r="AJ188" s="14">
        <v>4</v>
      </c>
      <c r="AK188" s="14">
        <v>4</v>
      </c>
      <c r="AL188" s="14">
        <v>4</v>
      </c>
      <c r="AM188" s="14">
        <v>4</v>
      </c>
      <c r="AN188" s="14">
        <v>4</v>
      </c>
      <c r="AO188" s="17">
        <f t="shared" si="4"/>
        <v>37</v>
      </c>
      <c r="AP188" s="17">
        <f t="shared" si="5"/>
        <v>82.222222222222214</v>
      </c>
      <c r="AQ188" s="16">
        <v>1</v>
      </c>
      <c r="AR188" s="16">
        <v>1</v>
      </c>
      <c r="AS188" s="16">
        <v>1</v>
      </c>
      <c r="AT188" s="16">
        <v>2</v>
      </c>
      <c r="AU188" s="16">
        <v>1</v>
      </c>
      <c r="AV188" s="16">
        <v>1</v>
      </c>
      <c r="AW188" s="16">
        <v>1</v>
      </c>
      <c r="AX188" s="16">
        <v>1</v>
      </c>
      <c r="AY188" s="16">
        <v>1</v>
      </c>
      <c r="AZ188" s="16">
        <v>1</v>
      </c>
      <c r="BA188" s="18">
        <f t="shared" si="6"/>
        <v>11</v>
      </c>
      <c r="BB188" s="18">
        <f t="shared" si="7"/>
        <v>22</v>
      </c>
    </row>
    <row r="189" spans="1:54" ht="22.5" customHeight="1" x14ac:dyDescent="0.2">
      <c r="A189" s="9" t="s">
        <v>74</v>
      </c>
      <c r="B189" s="9" t="s">
        <v>54</v>
      </c>
      <c r="C189" s="9" t="s">
        <v>55</v>
      </c>
      <c r="D189" s="1" t="s">
        <v>75</v>
      </c>
      <c r="E189" s="9" t="s">
        <v>60</v>
      </c>
      <c r="F189" s="9" t="s">
        <v>60</v>
      </c>
      <c r="G189" s="9" t="s">
        <v>76</v>
      </c>
      <c r="H189" s="9" t="s">
        <v>99</v>
      </c>
      <c r="I189" s="9" t="s">
        <v>62</v>
      </c>
      <c r="J189" s="11">
        <v>1</v>
      </c>
      <c r="K189" s="11">
        <v>1</v>
      </c>
      <c r="L189" s="11">
        <v>2</v>
      </c>
      <c r="M189" s="11">
        <v>0.5</v>
      </c>
      <c r="N189" s="11">
        <v>1.5</v>
      </c>
      <c r="O189" s="11">
        <v>0</v>
      </c>
      <c r="P189" s="11">
        <v>0</v>
      </c>
      <c r="Q189" s="11">
        <v>0</v>
      </c>
      <c r="R189" s="11">
        <v>1</v>
      </c>
      <c r="S189" s="11">
        <v>1</v>
      </c>
      <c r="T189" s="13">
        <f t="shared" si="0"/>
        <v>8</v>
      </c>
      <c r="U189" s="13">
        <f t="shared" si="1"/>
        <v>44.444444444444443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5">
        <f t="shared" si="2"/>
        <v>0</v>
      </c>
      <c r="AE189" s="15">
        <f t="shared" si="3"/>
        <v>0</v>
      </c>
      <c r="AF189" s="14">
        <v>3</v>
      </c>
      <c r="AG189" s="14">
        <v>3</v>
      </c>
      <c r="AH189" s="14">
        <v>3</v>
      </c>
      <c r="AI189" s="14">
        <v>3</v>
      </c>
      <c r="AJ189" s="14">
        <v>2</v>
      </c>
      <c r="AK189" s="14">
        <v>2</v>
      </c>
      <c r="AL189" s="14">
        <v>3</v>
      </c>
      <c r="AM189" s="14">
        <v>3</v>
      </c>
      <c r="AN189" s="14">
        <v>3</v>
      </c>
      <c r="AO189" s="17">
        <f t="shared" si="4"/>
        <v>25</v>
      </c>
      <c r="AP189" s="17">
        <f t="shared" si="5"/>
        <v>55.555555555555557</v>
      </c>
      <c r="AQ189" s="16">
        <v>2</v>
      </c>
      <c r="AR189" s="16">
        <v>3</v>
      </c>
      <c r="AS189" s="16">
        <v>3</v>
      </c>
      <c r="AT189" s="16">
        <v>3</v>
      </c>
      <c r="AU189" s="16">
        <v>1</v>
      </c>
      <c r="AV189" s="16">
        <v>2</v>
      </c>
      <c r="AW189" s="16">
        <v>3</v>
      </c>
      <c r="AX189" s="16">
        <v>3</v>
      </c>
      <c r="AY189" s="16">
        <v>1</v>
      </c>
      <c r="AZ189" s="16">
        <v>2</v>
      </c>
      <c r="BA189" s="18">
        <f t="shared" si="6"/>
        <v>23</v>
      </c>
      <c r="BB189" s="18">
        <f t="shared" si="7"/>
        <v>46</v>
      </c>
    </row>
    <row r="190" spans="1:54" ht="22.5" customHeight="1" x14ac:dyDescent="0.2">
      <c r="A190" s="9" t="s">
        <v>74</v>
      </c>
      <c r="B190" s="9" t="s">
        <v>54</v>
      </c>
      <c r="C190" s="9" t="s">
        <v>55</v>
      </c>
      <c r="D190" s="1" t="s">
        <v>70</v>
      </c>
      <c r="E190" s="9" t="s">
        <v>60</v>
      </c>
      <c r="F190" s="9" t="s">
        <v>60</v>
      </c>
      <c r="G190" s="9" t="s">
        <v>86</v>
      </c>
      <c r="H190" s="9" t="s">
        <v>86</v>
      </c>
      <c r="I190" s="9" t="s">
        <v>96</v>
      </c>
      <c r="J190" s="11">
        <v>0</v>
      </c>
      <c r="K190" s="11">
        <v>0</v>
      </c>
      <c r="L190" s="11">
        <v>3</v>
      </c>
      <c r="M190" s="11">
        <v>2</v>
      </c>
      <c r="N190" s="11">
        <v>1.5</v>
      </c>
      <c r="O190" s="11">
        <v>0</v>
      </c>
      <c r="P190" s="11">
        <v>1</v>
      </c>
      <c r="Q190" s="11">
        <v>0</v>
      </c>
      <c r="R190" s="11">
        <v>1</v>
      </c>
      <c r="S190" s="11">
        <v>1</v>
      </c>
      <c r="T190" s="13">
        <f t="shared" si="0"/>
        <v>9.5</v>
      </c>
      <c r="U190" s="13">
        <f t="shared" si="1"/>
        <v>52.777777777777779</v>
      </c>
      <c r="V190" s="12">
        <v>1</v>
      </c>
      <c r="W190" s="12">
        <v>1</v>
      </c>
      <c r="X190" s="12">
        <v>1</v>
      </c>
      <c r="Y190" s="12">
        <v>1</v>
      </c>
      <c r="Z190" s="12">
        <v>1</v>
      </c>
      <c r="AA190" s="12">
        <v>1</v>
      </c>
      <c r="AB190" s="12">
        <v>1</v>
      </c>
      <c r="AC190" s="12">
        <v>1</v>
      </c>
      <c r="AD190" s="15">
        <f t="shared" si="2"/>
        <v>8</v>
      </c>
      <c r="AE190" s="15">
        <f t="shared" si="3"/>
        <v>100</v>
      </c>
      <c r="AF190" s="14">
        <v>4</v>
      </c>
      <c r="AG190" s="14">
        <v>4</v>
      </c>
      <c r="AH190" s="14">
        <v>3</v>
      </c>
      <c r="AI190" s="14">
        <v>3</v>
      </c>
      <c r="AJ190" s="14">
        <v>3</v>
      </c>
      <c r="AK190" s="14">
        <v>3</v>
      </c>
      <c r="AL190" s="14">
        <v>5</v>
      </c>
      <c r="AM190" s="14">
        <v>4</v>
      </c>
      <c r="AN190" s="14">
        <v>5</v>
      </c>
      <c r="AO190" s="17">
        <f t="shared" si="4"/>
        <v>34</v>
      </c>
      <c r="AP190" s="17">
        <f t="shared" si="5"/>
        <v>75.555555555555557</v>
      </c>
      <c r="AQ190" s="16">
        <v>3</v>
      </c>
      <c r="AR190" s="16">
        <v>3</v>
      </c>
      <c r="AS190" s="16">
        <v>3</v>
      </c>
      <c r="AT190" s="16">
        <v>3</v>
      </c>
      <c r="AU190" s="16">
        <v>5</v>
      </c>
      <c r="AV190" s="16">
        <v>1</v>
      </c>
      <c r="AW190" s="16">
        <v>1</v>
      </c>
      <c r="AX190" s="16">
        <v>3</v>
      </c>
      <c r="AY190" s="16">
        <v>5</v>
      </c>
      <c r="AZ190" s="16">
        <v>5</v>
      </c>
      <c r="BA190" s="18">
        <f t="shared" si="6"/>
        <v>32</v>
      </c>
      <c r="BB190" s="18">
        <f t="shared" si="7"/>
        <v>64</v>
      </c>
    </row>
    <row r="191" spans="1:54" ht="22.5" customHeight="1" x14ac:dyDescent="0.2">
      <c r="A191" s="9" t="s">
        <v>93</v>
      </c>
      <c r="B191" s="9" t="s">
        <v>54</v>
      </c>
      <c r="C191" s="9" t="s">
        <v>69</v>
      </c>
      <c r="D191" s="1" t="s">
        <v>57</v>
      </c>
      <c r="E191" s="9" t="s">
        <v>59</v>
      </c>
      <c r="F191" s="9" t="s">
        <v>71</v>
      </c>
      <c r="G191" s="9" t="s">
        <v>76</v>
      </c>
      <c r="H191" s="9" t="s">
        <v>99</v>
      </c>
      <c r="I191" s="9" t="s">
        <v>72</v>
      </c>
      <c r="J191" s="11">
        <v>1</v>
      </c>
      <c r="K191" s="11">
        <v>0</v>
      </c>
      <c r="L191" s="11">
        <v>2</v>
      </c>
      <c r="M191" s="11">
        <v>1</v>
      </c>
      <c r="N191" s="11">
        <v>1</v>
      </c>
      <c r="O191" s="11">
        <v>1</v>
      </c>
      <c r="P191" s="11">
        <v>1.5</v>
      </c>
      <c r="Q191" s="11">
        <v>1</v>
      </c>
      <c r="R191" s="11">
        <v>1.5</v>
      </c>
      <c r="S191" s="11">
        <v>1.5</v>
      </c>
      <c r="T191" s="13">
        <f t="shared" si="0"/>
        <v>11.5</v>
      </c>
      <c r="U191" s="13">
        <f t="shared" si="1"/>
        <v>63.888888888888886</v>
      </c>
      <c r="V191" s="12">
        <v>1</v>
      </c>
      <c r="W191" s="12">
        <v>1</v>
      </c>
      <c r="X191" s="12">
        <v>1</v>
      </c>
      <c r="Y191" s="12">
        <v>1</v>
      </c>
      <c r="Z191" s="12">
        <v>1</v>
      </c>
      <c r="AA191" s="12">
        <v>1</v>
      </c>
      <c r="AB191" s="12">
        <v>1</v>
      </c>
      <c r="AC191" s="12">
        <v>1</v>
      </c>
      <c r="AD191" s="15">
        <f t="shared" si="2"/>
        <v>8</v>
      </c>
      <c r="AE191" s="15">
        <f t="shared" si="3"/>
        <v>100</v>
      </c>
      <c r="AF191" s="14">
        <v>4</v>
      </c>
      <c r="AG191" s="14">
        <v>4</v>
      </c>
      <c r="AH191" s="14">
        <v>4</v>
      </c>
      <c r="AI191" s="14">
        <v>4</v>
      </c>
      <c r="AJ191" s="14">
        <v>4</v>
      </c>
      <c r="AK191" s="14">
        <v>3</v>
      </c>
      <c r="AL191" s="14">
        <v>4</v>
      </c>
      <c r="AM191" s="14">
        <v>4</v>
      </c>
      <c r="AN191" s="14">
        <v>4</v>
      </c>
      <c r="AO191" s="17">
        <f t="shared" si="4"/>
        <v>35</v>
      </c>
      <c r="AP191" s="17">
        <f t="shared" si="5"/>
        <v>77.777777777777786</v>
      </c>
      <c r="AQ191" s="16">
        <v>4</v>
      </c>
      <c r="AR191" s="16">
        <v>4</v>
      </c>
      <c r="AS191" s="16">
        <v>4</v>
      </c>
      <c r="AT191" s="16">
        <v>4</v>
      </c>
      <c r="AU191" s="16">
        <v>5</v>
      </c>
      <c r="AV191" s="16">
        <v>4</v>
      </c>
      <c r="AW191" s="16">
        <v>4</v>
      </c>
      <c r="AX191" s="16">
        <v>4</v>
      </c>
      <c r="AY191" s="16">
        <v>5</v>
      </c>
      <c r="AZ191" s="16">
        <v>4</v>
      </c>
      <c r="BA191" s="18">
        <f t="shared" si="6"/>
        <v>42</v>
      </c>
      <c r="BB191" s="18">
        <f t="shared" si="7"/>
        <v>84</v>
      </c>
    </row>
    <row r="192" spans="1:54" ht="22.5" customHeight="1" x14ac:dyDescent="0.2">
      <c r="A192" s="9" t="s">
        <v>52</v>
      </c>
      <c r="B192" s="9" t="s">
        <v>54</v>
      </c>
      <c r="C192" s="9" t="s">
        <v>69</v>
      </c>
      <c r="D192" s="1" t="s">
        <v>57</v>
      </c>
      <c r="E192" s="9" t="s">
        <v>60</v>
      </c>
      <c r="F192" s="9" t="s">
        <v>85</v>
      </c>
      <c r="G192" s="9" t="s">
        <v>76</v>
      </c>
      <c r="H192" s="9" t="s">
        <v>99</v>
      </c>
      <c r="I192" s="9" t="s">
        <v>62</v>
      </c>
      <c r="J192" s="11">
        <v>1</v>
      </c>
      <c r="K192" s="11">
        <v>1</v>
      </c>
      <c r="L192" s="11">
        <v>1</v>
      </c>
      <c r="M192" s="11">
        <v>1</v>
      </c>
      <c r="N192" s="11">
        <v>1</v>
      </c>
      <c r="O192" s="11">
        <v>1</v>
      </c>
      <c r="P192" s="11">
        <v>1.5</v>
      </c>
      <c r="Q192" s="11">
        <v>1</v>
      </c>
      <c r="R192" s="11">
        <v>1</v>
      </c>
      <c r="S192" s="11">
        <v>1.5</v>
      </c>
      <c r="T192" s="13">
        <f t="shared" si="0"/>
        <v>11</v>
      </c>
      <c r="U192" s="13">
        <f t="shared" si="1"/>
        <v>61.111111111111114</v>
      </c>
      <c r="V192" s="12">
        <v>1</v>
      </c>
      <c r="W192" s="12">
        <v>1</v>
      </c>
      <c r="X192" s="12">
        <v>1</v>
      </c>
      <c r="Y192" s="12">
        <v>1</v>
      </c>
      <c r="Z192" s="12">
        <v>1</v>
      </c>
      <c r="AA192" s="12">
        <v>1</v>
      </c>
      <c r="AB192" s="12">
        <v>1</v>
      </c>
      <c r="AC192" s="12">
        <v>1</v>
      </c>
      <c r="AD192" s="15">
        <f t="shared" si="2"/>
        <v>8</v>
      </c>
      <c r="AE192" s="15">
        <f t="shared" si="3"/>
        <v>100</v>
      </c>
      <c r="AF192" s="14">
        <v>4</v>
      </c>
      <c r="AG192" s="14">
        <v>4</v>
      </c>
      <c r="AH192" s="14">
        <v>5</v>
      </c>
      <c r="AI192" s="14">
        <v>4</v>
      </c>
      <c r="AJ192" s="14">
        <v>3</v>
      </c>
      <c r="AK192" s="14">
        <v>3</v>
      </c>
      <c r="AL192" s="14">
        <v>4</v>
      </c>
      <c r="AM192" s="14">
        <v>5</v>
      </c>
      <c r="AN192" s="14">
        <v>4</v>
      </c>
      <c r="AO192" s="17">
        <f t="shared" si="4"/>
        <v>36</v>
      </c>
      <c r="AP192" s="17">
        <f t="shared" si="5"/>
        <v>80</v>
      </c>
      <c r="AQ192" s="16">
        <v>4</v>
      </c>
      <c r="AR192" s="16">
        <v>3</v>
      </c>
      <c r="AS192" s="16">
        <v>4</v>
      </c>
      <c r="AT192" s="16">
        <v>4</v>
      </c>
      <c r="AU192" s="16">
        <v>5</v>
      </c>
      <c r="AV192" s="16">
        <v>4</v>
      </c>
      <c r="AW192" s="16">
        <v>4</v>
      </c>
      <c r="AX192" s="16">
        <v>4</v>
      </c>
      <c r="AY192" s="16">
        <v>5</v>
      </c>
      <c r="AZ192" s="16">
        <v>3</v>
      </c>
      <c r="BA192" s="18">
        <f t="shared" si="6"/>
        <v>40</v>
      </c>
      <c r="BB192" s="18">
        <f t="shared" si="7"/>
        <v>80</v>
      </c>
    </row>
    <row r="193" spans="1:54" ht="22.5" customHeight="1" x14ac:dyDescent="0.2">
      <c r="A193" s="9" t="s">
        <v>52</v>
      </c>
      <c r="B193" s="9" t="s">
        <v>68</v>
      </c>
      <c r="C193" s="9" t="s">
        <v>69</v>
      </c>
      <c r="D193" s="1" t="s">
        <v>70</v>
      </c>
      <c r="E193" s="9" t="s">
        <v>71</v>
      </c>
      <c r="F193" s="9" t="s">
        <v>59</v>
      </c>
      <c r="G193" s="9" t="s">
        <v>76</v>
      </c>
      <c r="H193" s="9" t="s">
        <v>99</v>
      </c>
      <c r="I193" s="9" t="s">
        <v>62</v>
      </c>
      <c r="J193" s="11">
        <v>1</v>
      </c>
      <c r="K193" s="11">
        <v>1</v>
      </c>
      <c r="L193" s="11">
        <v>2</v>
      </c>
      <c r="M193" s="11">
        <v>0.5</v>
      </c>
      <c r="N193" s="11">
        <v>1</v>
      </c>
      <c r="O193" s="11">
        <v>1</v>
      </c>
      <c r="P193" s="11">
        <v>1.5</v>
      </c>
      <c r="Q193" s="11">
        <v>0</v>
      </c>
      <c r="R193" s="11">
        <v>1.5</v>
      </c>
      <c r="S193" s="11">
        <v>1.5</v>
      </c>
      <c r="T193" s="13">
        <f t="shared" si="0"/>
        <v>11</v>
      </c>
      <c r="U193" s="13">
        <f t="shared" si="1"/>
        <v>61.111111111111114</v>
      </c>
      <c r="V193" s="12">
        <v>1</v>
      </c>
      <c r="W193" s="12">
        <v>1</v>
      </c>
      <c r="X193" s="12">
        <v>0</v>
      </c>
      <c r="Y193" s="12">
        <v>1</v>
      </c>
      <c r="Z193" s="12">
        <v>1</v>
      </c>
      <c r="AA193" s="12">
        <v>1</v>
      </c>
      <c r="AB193" s="12">
        <v>1</v>
      </c>
      <c r="AC193" s="12">
        <v>1</v>
      </c>
      <c r="AD193" s="15">
        <f t="shared" si="2"/>
        <v>7</v>
      </c>
      <c r="AE193" s="15">
        <f t="shared" si="3"/>
        <v>87.5</v>
      </c>
      <c r="AF193" s="14">
        <v>4</v>
      </c>
      <c r="AG193" s="14">
        <v>3</v>
      </c>
      <c r="AH193" s="14">
        <v>5</v>
      </c>
      <c r="AI193" s="14">
        <v>4</v>
      </c>
      <c r="AJ193" s="14">
        <v>4</v>
      </c>
      <c r="AK193" s="14">
        <v>5</v>
      </c>
      <c r="AL193" s="14">
        <v>3</v>
      </c>
      <c r="AM193" s="14">
        <v>4</v>
      </c>
      <c r="AN193" s="14">
        <v>4</v>
      </c>
      <c r="AO193" s="17">
        <f t="shared" si="4"/>
        <v>36</v>
      </c>
      <c r="AP193" s="17">
        <f t="shared" si="5"/>
        <v>80</v>
      </c>
      <c r="AQ193" s="16">
        <v>4</v>
      </c>
      <c r="AR193" s="16">
        <v>4</v>
      </c>
      <c r="AS193" s="16">
        <v>4</v>
      </c>
      <c r="AT193" s="16">
        <v>4</v>
      </c>
      <c r="AU193" s="16">
        <v>5</v>
      </c>
      <c r="AV193" s="16">
        <v>4</v>
      </c>
      <c r="AW193" s="16">
        <v>4</v>
      </c>
      <c r="AX193" s="16">
        <v>4</v>
      </c>
      <c r="AY193" s="16">
        <v>5</v>
      </c>
      <c r="AZ193" s="16">
        <v>4</v>
      </c>
      <c r="BA193" s="18">
        <f t="shared" si="6"/>
        <v>42</v>
      </c>
      <c r="BB193" s="18">
        <f t="shared" si="7"/>
        <v>84</v>
      </c>
    </row>
    <row r="194" spans="1:54" ht="22.5" customHeight="1" x14ac:dyDescent="0.2">
      <c r="A194" s="9" t="s">
        <v>52</v>
      </c>
      <c r="B194" s="9" t="s">
        <v>54</v>
      </c>
      <c r="C194" s="9" t="s">
        <v>55</v>
      </c>
      <c r="D194" s="1" t="s">
        <v>57</v>
      </c>
      <c r="E194" s="9" t="s">
        <v>60</v>
      </c>
      <c r="F194" s="9" t="s">
        <v>71</v>
      </c>
      <c r="G194" s="9" t="s">
        <v>61</v>
      </c>
      <c r="H194" s="9" t="s">
        <v>101</v>
      </c>
      <c r="I194" s="9" t="s">
        <v>62</v>
      </c>
      <c r="J194" s="11">
        <v>0</v>
      </c>
      <c r="K194" s="11">
        <v>0</v>
      </c>
      <c r="L194" s="11">
        <v>2</v>
      </c>
      <c r="M194" s="11">
        <v>0.5</v>
      </c>
      <c r="N194" s="11">
        <v>1.5</v>
      </c>
      <c r="O194" s="11">
        <v>0</v>
      </c>
      <c r="P194" s="11">
        <v>1.5</v>
      </c>
      <c r="Q194" s="11">
        <v>0</v>
      </c>
      <c r="R194" s="11">
        <v>1.5</v>
      </c>
      <c r="S194" s="11">
        <v>1.5</v>
      </c>
      <c r="T194" s="13">
        <f t="shared" si="0"/>
        <v>8.5</v>
      </c>
      <c r="U194" s="13">
        <f t="shared" si="1"/>
        <v>47.222222222222221</v>
      </c>
      <c r="V194" s="12">
        <v>1</v>
      </c>
      <c r="W194" s="12">
        <v>1</v>
      </c>
      <c r="X194" s="12">
        <v>1</v>
      </c>
      <c r="Y194" s="12">
        <v>1</v>
      </c>
      <c r="Z194" s="12">
        <v>1</v>
      </c>
      <c r="AA194" s="12">
        <v>1</v>
      </c>
      <c r="AB194" s="12">
        <v>1</v>
      </c>
      <c r="AC194" s="12">
        <v>1</v>
      </c>
      <c r="AD194" s="15">
        <f t="shared" si="2"/>
        <v>8</v>
      </c>
      <c r="AE194" s="15">
        <f t="shared" si="3"/>
        <v>100</v>
      </c>
      <c r="AF194" s="14">
        <v>4</v>
      </c>
      <c r="AG194" s="14">
        <v>3</v>
      </c>
      <c r="AH194" s="14">
        <v>4</v>
      </c>
      <c r="AI194" s="14">
        <v>4</v>
      </c>
      <c r="AJ194" s="14">
        <v>4</v>
      </c>
      <c r="AK194" s="14">
        <v>3</v>
      </c>
      <c r="AL194" s="14">
        <v>3</v>
      </c>
      <c r="AM194" s="14">
        <v>4</v>
      </c>
      <c r="AN194" s="14">
        <v>5</v>
      </c>
      <c r="AO194" s="17">
        <f t="shared" si="4"/>
        <v>34</v>
      </c>
      <c r="AP194" s="17">
        <f t="shared" si="5"/>
        <v>75.555555555555557</v>
      </c>
      <c r="AQ194" s="16">
        <v>4</v>
      </c>
      <c r="AR194" s="16">
        <v>4</v>
      </c>
      <c r="AS194" s="16">
        <v>4</v>
      </c>
      <c r="AT194" s="16">
        <v>3</v>
      </c>
      <c r="AU194" s="16">
        <v>5</v>
      </c>
      <c r="AV194" s="16">
        <v>4</v>
      </c>
      <c r="AW194" s="16">
        <v>3</v>
      </c>
      <c r="AX194" s="16">
        <v>4</v>
      </c>
      <c r="AY194" s="16">
        <v>5</v>
      </c>
      <c r="AZ194" s="16">
        <v>4</v>
      </c>
      <c r="BA194" s="18">
        <f t="shared" si="6"/>
        <v>40</v>
      </c>
      <c r="BB194" s="18">
        <f t="shared" si="7"/>
        <v>80</v>
      </c>
    </row>
    <row r="195" spans="1:54" ht="22.5" customHeight="1" x14ac:dyDescent="0.2">
      <c r="A195" s="9" t="s">
        <v>74</v>
      </c>
      <c r="B195" s="9" t="s">
        <v>54</v>
      </c>
      <c r="C195" s="9" t="s">
        <v>55</v>
      </c>
      <c r="D195" s="1" t="s">
        <v>57</v>
      </c>
      <c r="E195" s="9" t="s">
        <v>60</v>
      </c>
      <c r="F195" s="9" t="s">
        <v>60</v>
      </c>
      <c r="G195" s="9" t="s">
        <v>61</v>
      </c>
      <c r="H195" s="9" t="s">
        <v>99</v>
      </c>
      <c r="I195" s="9" t="s">
        <v>62</v>
      </c>
      <c r="J195" s="11">
        <v>1</v>
      </c>
      <c r="K195" s="11">
        <v>1</v>
      </c>
      <c r="L195" s="11">
        <v>2</v>
      </c>
      <c r="M195" s="11">
        <v>1</v>
      </c>
      <c r="N195" s="11">
        <v>1</v>
      </c>
      <c r="O195" s="11">
        <v>0</v>
      </c>
      <c r="P195" s="11">
        <v>1.5</v>
      </c>
      <c r="Q195" s="11">
        <v>1</v>
      </c>
      <c r="R195" s="11">
        <v>2</v>
      </c>
      <c r="S195" s="11">
        <v>2</v>
      </c>
      <c r="T195" s="13">
        <f t="shared" si="0"/>
        <v>12.5</v>
      </c>
      <c r="U195" s="13">
        <f t="shared" si="1"/>
        <v>69.444444444444443</v>
      </c>
      <c r="V195" s="12">
        <v>1</v>
      </c>
      <c r="W195" s="12">
        <v>1</v>
      </c>
      <c r="X195" s="12">
        <v>1</v>
      </c>
      <c r="Y195" s="12">
        <v>1</v>
      </c>
      <c r="Z195" s="12">
        <v>1</v>
      </c>
      <c r="AA195" s="12">
        <v>1</v>
      </c>
      <c r="AB195" s="12">
        <v>1</v>
      </c>
      <c r="AC195" s="12">
        <v>1</v>
      </c>
      <c r="AD195" s="15">
        <f t="shared" si="2"/>
        <v>8</v>
      </c>
      <c r="AE195" s="15">
        <f t="shared" si="3"/>
        <v>100</v>
      </c>
      <c r="AF195" s="14">
        <v>4</v>
      </c>
      <c r="AG195" s="14">
        <v>5</v>
      </c>
      <c r="AH195" s="14">
        <v>5</v>
      </c>
      <c r="AI195" s="14">
        <v>5</v>
      </c>
      <c r="AJ195" s="14">
        <v>5</v>
      </c>
      <c r="AK195" s="14">
        <v>5</v>
      </c>
      <c r="AL195" s="14">
        <v>5</v>
      </c>
      <c r="AM195" s="14">
        <v>5</v>
      </c>
      <c r="AN195" s="14">
        <v>5</v>
      </c>
      <c r="AO195" s="17">
        <f t="shared" si="4"/>
        <v>44</v>
      </c>
      <c r="AP195" s="17">
        <f t="shared" si="5"/>
        <v>97.777777777777771</v>
      </c>
      <c r="AQ195" s="16">
        <v>5</v>
      </c>
      <c r="AR195" s="16">
        <v>4</v>
      </c>
      <c r="AS195" s="16">
        <v>5</v>
      </c>
      <c r="AT195" s="16">
        <v>5</v>
      </c>
      <c r="AU195" s="16">
        <v>5</v>
      </c>
      <c r="AV195" s="16">
        <v>4</v>
      </c>
      <c r="AW195" s="16">
        <v>5</v>
      </c>
      <c r="AX195" s="16">
        <v>5</v>
      </c>
      <c r="AY195" s="16">
        <v>5</v>
      </c>
      <c r="AZ195" s="16">
        <v>5</v>
      </c>
      <c r="BA195" s="18">
        <f t="shared" si="6"/>
        <v>48</v>
      </c>
      <c r="BB195" s="18">
        <f t="shared" si="7"/>
        <v>96</v>
      </c>
    </row>
    <row r="196" spans="1:54" ht="22.5" customHeight="1" x14ac:dyDescent="0.2">
      <c r="A196" s="9" t="s">
        <v>74</v>
      </c>
      <c r="B196" s="9" t="s">
        <v>68</v>
      </c>
      <c r="C196" s="9" t="s">
        <v>69</v>
      </c>
      <c r="D196" s="1" t="s">
        <v>57</v>
      </c>
      <c r="E196" s="9" t="s">
        <v>60</v>
      </c>
      <c r="F196" s="9" t="s">
        <v>60</v>
      </c>
      <c r="G196" s="9" t="s">
        <v>76</v>
      </c>
      <c r="H196" s="9" t="s">
        <v>101</v>
      </c>
      <c r="I196" s="9" t="s">
        <v>72</v>
      </c>
      <c r="J196" s="11">
        <v>1</v>
      </c>
      <c r="K196" s="11">
        <v>1</v>
      </c>
      <c r="L196" s="11">
        <v>1</v>
      </c>
      <c r="M196" s="11">
        <v>0.5</v>
      </c>
      <c r="N196" s="11">
        <v>1</v>
      </c>
      <c r="O196" s="11">
        <v>1</v>
      </c>
      <c r="P196" s="11">
        <v>2</v>
      </c>
      <c r="Q196" s="11">
        <v>1</v>
      </c>
      <c r="R196" s="11">
        <v>1</v>
      </c>
      <c r="S196" s="11">
        <v>1.5</v>
      </c>
      <c r="T196" s="13">
        <f t="shared" si="0"/>
        <v>11</v>
      </c>
      <c r="U196" s="13">
        <f t="shared" si="1"/>
        <v>61.111111111111114</v>
      </c>
      <c r="V196" s="12">
        <v>1</v>
      </c>
      <c r="W196" s="12">
        <v>1</v>
      </c>
      <c r="X196" s="12">
        <v>1</v>
      </c>
      <c r="Y196" s="12">
        <v>1</v>
      </c>
      <c r="Z196" s="12">
        <v>1</v>
      </c>
      <c r="AA196" s="12">
        <v>1</v>
      </c>
      <c r="AB196" s="12">
        <v>1</v>
      </c>
      <c r="AC196" s="12">
        <v>0</v>
      </c>
      <c r="AD196" s="15">
        <f t="shared" si="2"/>
        <v>7</v>
      </c>
      <c r="AE196" s="15">
        <f t="shared" si="3"/>
        <v>87.5</v>
      </c>
      <c r="AF196" s="14">
        <v>5</v>
      </c>
      <c r="AG196" s="14">
        <v>4</v>
      </c>
      <c r="AH196" s="14">
        <v>4</v>
      </c>
      <c r="AI196" s="14">
        <v>4</v>
      </c>
      <c r="AJ196" s="14">
        <v>4</v>
      </c>
      <c r="AK196" s="14">
        <v>4</v>
      </c>
      <c r="AL196" s="14">
        <v>4</v>
      </c>
      <c r="AM196" s="14">
        <v>4</v>
      </c>
      <c r="AN196" s="14">
        <v>4</v>
      </c>
      <c r="AO196" s="17">
        <f t="shared" si="4"/>
        <v>37</v>
      </c>
      <c r="AP196" s="17">
        <f t="shared" si="5"/>
        <v>82.222222222222214</v>
      </c>
      <c r="AQ196" s="16">
        <v>4</v>
      </c>
      <c r="AR196" s="16">
        <v>4</v>
      </c>
      <c r="AS196" s="16">
        <v>4</v>
      </c>
      <c r="AT196" s="16">
        <v>3</v>
      </c>
      <c r="AU196" s="16">
        <v>5</v>
      </c>
      <c r="AV196" s="16">
        <v>4</v>
      </c>
      <c r="AW196" s="16">
        <v>4</v>
      </c>
      <c r="AX196" s="16">
        <v>4</v>
      </c>
      <c r="AY196" s="16">
        <v>5</v>
      </c>
      <c r="AZ196" s="16">
        <v>4</v>
      </c>
      <c r="BA196" s="18">
        <f t="shared" si="6"/>
        <v>41</v>
      </c>
      <c r="BB196" s="18">
        <f t="shared" si="7"/>
        <v>82</v>
      </c>
    </row>
    <row r="197" spans="1:54" ht="22.5" customHeight="1" x14ac:dyDescent="0.2">
      <c r="A197" s="9" t="s">
        <v>67</v>
      </c>
      <c r="B197" s="9" t="s">
        <v>68</v>
      </c>
      <c r="C197" s="9" t="s">
        <v>55</v>
      </c>
      <c r="D197" s="1" t="s">
        <v>70</v>
      </c>
      <c r="E197" s="9" t="s">
        <v>71</v>
      </c>
      <c r="F197" s="9" t="s">
        <v>60</v>
      </c>
      <c r="G197" s="9" t="s">
        <v>61</v>
      </c>
      <c r="H197" s="9" t="s">
        <v>57</v>
      </c>
      <c r="I197" s="9" t="s">
        <v>72</v>
      </c>
      <c r="J197" s="11">
        <v>1</v>
      </c>
      <c r="K197" s="11">
        <v>0</v>
      </c>
      <c r="L197" s="11">
        <v>1</v>
      </c>
      <c r="M197" s="11">
        <v>1</v>
      </c>
      <c r="N197" s="11">
        <v>1</v>
      </c>
      <c r="O197" s="11">
        <v>1</v>
      </c>
      <c r="P197" s="11">
        <v>1</v>
      </c>
      <c r="Q197" s="11">
        <v>0</v>
      </c>
      <c r="R197" s="11">
        <v>1.5</v>
      </c>
      <c r="S197" s="11">
        <v>1.5</v>
      </c>
      <c r="T197" s="13">
        <f t="shared" si="0"/>
        <v>9</v>
      </c>
      <c r="U197" s="13">
        <f t="shared" si="1"/>
        <v>50</v>
      </c>
      <c r="V197" s="12">
        <v>0</v>
      </c>
      <c r="W197" s="12">
        <v>1</v>
      </c>
      <c r="X197" s="12">
        <v>1</v>
      </c>
      <c r="Y197" s="12">
        <v>1</v>
      </c>
      <c r="Z197" s="12">
        <v>1</v>
      </c>
      <c r="AA197" s="12">
        <v>1</v>
      </c>
      <c r="AB197" s="12">
        <v>1</v>
      </c>
      <c r="AC197" s="12">
        <v>1</v>
      </c>
      <c r="AD197" s="15">
        <f t="shared" si="2"/>
        <v>7</v>
      </c>
      <c r="AE197" s="15">
        <f t="shared" si="3"/>
        <v>87.5</v>
      </c>
      <c r="AF197" s="14">
        <v>3</v>
      </c>
      <c r="AG197" s="14">
        <v>3</v>
      </c>
      <c r="AH197" s="14">
        <v>4</v>
      </c>
      <c r="AI197" s="14">
        <v>4</v>
      </c>
      <c r="AJ197" s="14">
        <v>4</v>
      </c>
      <c r="AK197" s="14">
        <v>4</v>
      </c>
      <c r="AL197" s="14">
        <v>4</v>
      </c>
      <c r="AM197" s="14">
        <v>4</v>
      </c>
      <c r="AN197" s="14">
        <v>4</v>
      </c>
      <c r="AO197" s="17">
        <f t="shared" si="4"/>
        <v>34</v>
      </c>
      <c r="AP197" s="17">
        <f t="shared" si="5"/>
        <v>75.555555555555557</v>
      </c>
      <c r="AQ197" s="16">
        <v>4</v>
      </c>
      <c r="AR197" s="16">
        <v>4</v>
      </c>
      <c r="AS197" s="16">
        <v>4</v>
      </c>
      <c r="AT197" s="16">
        <v>5</v>
      </c>
      <c r="AU197" s="16">
        <v>5</v>
      </c>
      <c r="AV197" s="16">
        <v>5</v>
      </c>
      <c r="AW197" s="16">
        <v>5</v>
      </c>
      <c r="AX197" s="16">
        <v>5</v>
      </c>
      <c r="AY197" s="16">
        <v>5</v>
      </c>
      <c r="AZ197" s="16">
        <v>4</v>
      </c>
      <c r="BA197" s="18">
        <f t="shared" si="6"/>
        <v>46</v>
      </c>
      <c r="BB197" s="18">
        <f t="shared" si="7"/>
        <v>92</v>
      </c>
    </row>
    <row r="198" spans="1:54" ht="22.5" customHeight="1" x14ac:dyDescent="0.2">
      <c r="A198" s="9" t="s">
        <v>52</v>
      </c>
      <c r="B198" s="9" t="s">
        <v>54</v>
      </c>
      <c r="C198" s="9" t="s">
        <v>69</v>
      </c>
      <c r="D198" s="1" t="s">
        <v>75</v>
      </c>
      <c r="E198" s="9" t="s">
        <v>60</v>
      </c>
      <c r="F198" s="9" t="s">
        <v>60</v>
      </c>
      <c r="G198" s="9" t="s">
        <v>76</v>
      </c>
      <c r="H198" s="9" t="s">
        <v>99</v>
      </c>
      <c r="I198" s="9" t="s">
        <v>62</v>
      </c>
      <c r="J198" s="11">
        <v>1</v>
      </c>
      <c r="K198" s="11">
        <v>1</v>
      </c>
      <c r="L198" s="11">
        <v>1</v>
      </c>
      <c r="M198" s="11">
        <v>1</v>
      </c>
      <c r="N198" s="11">
        <v>1.5</v>
      </c>
      <c r="O198" s="11">
        <v>1</v>
      </c>
      <c r="P198" s="11">
        <v>0.5</v>
      </c>
      <c r="Q198" s="11">
        <v>1</v>
      </c>
      <c r="R198" s="11">
        <v>1</v>
      </c>
      <c r="S198" s="11">
        <v>1.5</v>
      </c>
      <c r="T198" s="13">
        <f t="shared" si="0"/>
        <v>10.5</v>
      </c>
      <c r="U198" s="13">
        <f t="shared" si="1"/>
        <v>58.333333333333336</v>
      </c>
      <c r="V198" s="12">
        <v>1</v>
      </c>
      <c r="W198" s="12">
        <v>1</v>
      </c>
      <c r="X198" s="12">
        <v>1</v>
      </c>
      <c r="Y198" s="12">
        <v>1</v>
      </c>
      <c r="Z198" s="12">
        <v>1</v>
      </c>
      <c r="AA198" s="12">
        <v>1</v>
      </c>
      <c r="AB198" s="12">
        <v>1</v>
      </c>
      <c r="AC198" s="12">
        <v>1</v>
      </c>
      <c r="AD198" s="15">
        <f t="shared" si="2"/>
        <v>8</v>
      </c>
      <c r="AE198" s="15">
        <f t="shared" si="3"/>
        <v>100</v>
      </c>
      <c r="AF198" s="14">
        <v>4</v>
      </c>
      <c r="AG198" s="14">
        <v>4</v>
      </c>
      <c r="AH198" s="14">
        <v>4</v>
      </c>
      <c r="AI198" s="14">
        <v>4</v>
      </c>
      <c r="AJ198" s="14">
        <v>4</v>
      </c>
      <c r="AK198" s="14">
        <v>3</v>
      </c>
      <c r="AL198" s="14">
        <v>3</v>
      </c>
      <c r="AM198" s="14">
        <v>4</v>
      </c>
      <c r="AN198" s="14">
        <v>4</v>
      </c>
      <c r="AO198" s="17">
        <f t="shared" si="4"/>
        <v>34</v>
      </c>
      <c r="AP198" s="17">
        <f t="shared" si="5"/>
        <v>75.555555555555557</v>
      </c>
      <c r="AQ198" s="16">
        <v>4</v>
      </c>
      <c r="AR198" s="16">
        <v>3</v>
      </c>
      <c r="AS198" s="16">
        <v>4</v>
      </c>
      <c r="AT198" s="16">
        <v>4</v>
      </c>
      <c r="AU198" s="16">
        <v>5</v>
      </c>
      <c r="AV198" s="16">
        <v>3</v>
      </c>
      <c r="AW198" s="16">
        <v>4</v>
      </c>
      <c r="AX198" s="16">
        <v>4</v>
      </c>
      <c r="AY198" s="16">
        <v>5</v>
      </c>
      <c r="AZ198" s="16">
        <v>4</v>
      </c>
      <c r="BA198" s="18">
        <f t="shared" si="6"/>
        <v>40</v>
      </c>
      <c r="BB198" s="18">
        <f t="shared" si="7"/>
        <v>80</v>
      </c>
    </row>
    <row r="199" spans="1:54" ht="22.5" customHeight="1" x14ac:dyDescent="0.2">
      <c r="A199" s="9" t="s">
        <v>74</v>
      </c>
      <c r="B199" s="9" t="s">
        <v>54</v>
      </c>
      <c r="C199" s="9" t="s">
        <v>55</v>
      </c>
      <c r="D199" s="1" t="s">
        <v>84</v>
      </c>
      <c r="E199" s="9" t="s">
        <v>71</v>
      </c>
      <c r="F199" s="9" t="s">
        <v>85</v>
      </c>
      <c r="G199" s="9" t="s">
        <v>95</v>
      </c>
      <c r="H199" s="9" t="s">
        <v>99</v>
      </c>
      <c r="I199" s="9" t="s">
        <v>81</v>
      </c>
      <c r="J199" s="11">
        <v>1</v>
      </c>
      <c r="K199" s="11">
        <v>1</v>
      </c>
      <c r="L199" s="11">
        <v>2</v>
      </c>
      <c r="M199" s="11">
        <v>2</v>
      </c>
      <c r="N199" s="11">
        <v>1.5</v>
      </c>
      <c r="O199" s="11">
        <v>1</v>
      </c>
      <c r="P199" s="11">
        <v>2</v>
      </c>
      <c r="Q199" s="11">
        <v>1</v>
      </c>
      <c r="R199" s="11">
        <v>2</v>
      </c>
      <c r="S199" s="11">
        <v>1</v>
      </c>
      <c r="T199" s="13">
        <f t="shared" si="0"/>
        <v>14.5</v>
      </c>
      <c r="U199" s="13">
        <f t="shared" si="1"/>
        <v>80.555555555555557</v>
      </c>
      <c r="V199" s="12">
        <v>1</v>
      </c>
      <c r="W199" s="12">
        <v>1</v>
      </c>
      <c r="X199" s="12">
        <v>1</v>
      </c>
      <c r="Y199" s="12">
        <v>1</v>
      </c>
      <c r="Z199" s="12">
        <v>1</v>
      </c>
      <c r="AA199" s="12">
        <v>1</v>
      </c>
      <c r="AB199" s="12">
        <v>1</v>
      </c>
      <c r="AC199" s="12">
        <v>1</v>
      </c>
      <c r="AD199" s="15">
        <f t="shared" si="2"/>
        <v>8</v>
      </c>
      <c r="AE199" s="15">
        <f t="shared" si="3"/>
        <v>100</v>
      </c>
      <c r="AF199" s="14">
        <v>4</v>
      </c>
      <c r="AG199" s="14">
        <v>4</v>
      </c>
      <c r="AH199" s="14">
        <v>4</v>
      </c>
      <c r="AI199" s="14">
        <v>4</v>
      </c>
      <c r="AJ199" s="14">
        <v>3</v>
      </c>
      <c r="AK199" s="14">
        <v>4</v>
      </c>
      <c r="AL199" s="14">
        <v>4</v>
      </c>
      <c r="AM199" s="14">
        <v>4</v>
      </c>
      <c r="AN199" s="14">
        <v>4</v>
      </c>
      <c r="AO199" s="17">
        <f t="shared" si="4"/>
        <v>35</v>
      </c>
      <c r="AP199" s="17">
        <f t="shared" si="5"/>
        <v>77.777777777777786</v>
      </c>
      <c r="AQ199" s="16">
        <v>4</v>
      </c>
      <c r="AR199" s="16">
        <v>4</v>
      </c>
      <c r="AS199" s="16">
        <v>4</v>
      </c>
      <c r="AT199" s="16">
        <v>4</v>
      </c>
      <c r="AU199" s="16">
        <v>5</v>
      </c>
      <c r="AV199" s="16">
        <v>3</v>
      </c>
      <c r="AW199" s="16">
        <v>3</v>
      </c>
      <c r="AX199" s="16">
        <v>3</v>
      </c>
      <c r="AY199" s="16">
        <v>5</v>
      </c>
      <c r="AZ199" s="16">
        <v>5</v>
      </c>
      <c r="BA199" s="18">
        <f t="shared" si="6"/>
        <v>40</v>
      </c>
      <c r="BB199" s="18">
        <f t="shared" si="7"/>
        <v>80</v>
      </c>
    </row>
    <row r="200" spans="1:54" ht="22.5" customHeight="1" x14ac:dyDescent="0.2">
      <c r="A200" s="9" t="s">
        <v>52</v>
      </c>
      <c r="B200" s="9" t="s">
        <v>54</v>
      </c>
      <c r="C200" s="9" t="s">
        <v>55</v>
      </c>
      <c r="D200" s="1" t="s">
        <v>57</v>
      </c>
      <c r="E200" s="9" t="s">
        <v>60</v>
      </c>
      <c r="F200" s="9" t="s">
        <v>92</v>
      </c>
      <c r="G200" s="9" t="s">
        <v>61</v>
      </c>
      <c r="H200" s="9" t="s">
        <v>57</v>
      </c>
      <c r="I200" s="9" t="s">
        <v>62</v>
      </c>
      <c r="J200" s="11">
        <v>0</v>
      </c>
      <c r="K200" s="11">
        <v>1</v>
      </c>
      <c r="L200" s="11">
        <v>0</v>
      </c>
      <c r="M200" s="11">
        <v>0.5</v>
      </c>
      <c r="N200" s="11">
        <v>1</v>
      </c>
      <c r="O200" s="11">
        <v>1</v>
      </c>
      <c r="P200" s="11">
        <v>1</v>
      </c>
      <c r="Q200" s="11">
        <v>0</v>
      </c>
      <c r="R200" s="11">
        <v>1</v>
      </c>
      <c r="S200" s="11">
        <v>0</v>
      </c>
      <c r="T200" s="13">
        <f t="shared" si="0"/>
        <v>5.5</v>
      </c>
      <c r="U200" s="13">
        <f t="shared" si="1"/>
        <v>30.555555555555557</v>
      </c>
      <c r="V200" s="12">
        <v>1</v>
      </c>
      <c r="W200" s="12">
        <v>1</v>
      </c>
      <c r="X200" s="12">
        <v>0</v>
      </c>
      <c r="Y200" s="12">
        <v>1</v>
      </c>
      <c r="Z200" s="12">
        <v>1</v>
      </c>
      <c r="AA200" s="12">
        <v>1</v>
      </c>
      <c r="AB200" s="12">
        <v>1</v>
      </c>
      <c r="AC200" s="12">
        <v>0</v>
      </c>
      <c r="AD200" s="15">
        <f t="shared" si="2"/>
        <v>6</v>
      </c>
      <c r="AE200" s="15">
        <f t="shared" si="3"/>
        <v>75</v>
      </c>
      <c r="AF200" s="14">
        <v>4</v>
      </c>
      <c r="AG200" s="14">
        <v>3</v>
      </c>
      <c r="AH200" s="14">
        <v>3</v>
      </c>
      <c r="AI200" s="14">
        <v>4</v>
      </c>
      <c r="AJ200" s="14">
        <v>4</v>
      </c>
      <c r="AK200" s="14">
        <v>4</v>
      </c>
      <c r="AL200" s="14">
        <v>4</v>
      </c>
      <c r="AM200" s="14">
        <v>4</v>
      </c>
      <c r="AN200" s="14">
        <v>4</v>
      </c>
      <c r="AO200" s="17">
        <f t="shared" si="4"/>
        <v>34</v>
      </c>
      <c r="AP200" s="17">
        <f t="shared" si="5"/>
        <v>75.555555555555557</v>
      </c>
      <c r="AQ200" s="16">
        <v>1</v>
      </c>
      <c r="AR200" s="16">
        <v>3</v>
      </c>
      <c r="AS200" s="16">
        <v>3</v>
      </c>
      <c r="AT200" s="16">
        <v>1</v>
      </c>
      <c r="AU200" s="16">
        <v>1</v>
      </c>
      <c r="AV200" s="16">
        <v>5</v>
      </c>
      <c r="AW200" s="16">
        <v>3</v>
      </c>
      <c r="AX200" s="16">
        <v>1</v>
      </c>
      <c r="AY200" s="16">
        <v>1</v>
      </c>
      <c r="AZ200" s="16">
        <v>3</v>
      </c>
      <c r="BA200" s="18">
        <f t="shared" si="6"/>
        <v>22</v>
      </c>
      <c r="BB200" s="18">
        <f t="shared" si="7"/>
        <v>44</v>
      </c>
    </row>
    <row r="201" spans="1:54" ht="22.5" customHeight="1" x14ac:dyDescent="0.2">
      <c r="A201" s="9" t="s">
        <v>74</v>
      </c>
      <c r="B201" s="9" t="s">
        <v>54</v>
      </c>
      <c r="C201" s="9" t="s">
        <v>55</v>
      </c>
      <c r="D201" s="1" t="s">
        <v>57</v>
      </c>
      <c r="E201" s="9" t="s">
        <v>85</v>
      </c>
      <c r="F201" s="9" t="s">
        <v>71</v>
      </c>
      <c r="G201" s="9" t="s">
        <v>61</v>
      </c>
      <c r="H201" s="9" t="s">
        <v>97</v>
      </c>
      <c r="I201" s="9" t="s">
        <v>72</v>
      </c>
      <c r="J201" s="11">
        <v>1</v>
      </c>
      <c r="K201" s="11">
        <v>1</v>
      </c>
      <c r="L201" s="11">
        <v>1</v>
      </c>
      <c r="M201" s="11">
        <v>0.5</v>
      </c>
      <c r="N201" s="11">
        <v>1</v>
      </c>
      <c r="O201" s="11">
        <v>0</v>
      </c>
      <c r="P201" s="11">
        <v>1.5</v>
      </c>
      <c r="Q201" s="11">
        <v>1</v>
      </c>
      <c r="R201" s="11">
        <v>0.5</v>
      </c>
      <c r="S201" s="11">
        <v>1.5</v>
      </c>
      <c r="T201" s="13">
        <f t="shared" si="0"/>
        <v>9</v>
      </c>
      <c r="U201" s="13">
        <f t="shared" si="1"/>
        <v>50</v>
      </c>
      <c r="V201" s="12">
        <v>0</v>
      </c>
      <c r="W201" s="12">
        <v>0</v>
      </c>
      <c r="X201" s="12">
        <v>1</v>
      </c>
      <c r="Y201" s="12">
        <v>0</v>
      </c>
      <c r="Z201" s="12">
        <v>1</v>
      </c>
      <c r="AA201" s="12">
        <v>0</v>
      </c>
      <c r="AB201" s="12">
        <v>0</v>
      </c>
      <c r="AC201" s="12">
        <v>1</v>
      </c>
      <c r="AD201" s="15">
        <f t="shared" si="2"/>
        <v>3</v>
      </c>
      <c r="AE201" s="15">
        <f t="shared" si="3"/>
        <v>37.5</v>
      </c>
      <c r="AF201" s="14">
        <v>4</v>
      </c>
      <c r="AG201" s="14">
        <v>3</v>
      </c>
      <c r="AH201" s="14">
        <v>4</v>
      </c>
      <c r="AI201" s="14">
        <v>3</v>
      </c>
      <c r="AJ201" s="14">
        <v>5</v>
      </c>
      <c r="AK201" s="14">
        <v>3</v>
      </c>
      <c r="AL201" s="14">
        <v>4</v>
      </c>
      <c r="AM201" s="14">
        <v>2</v>
      </c>
      <c r="AN201" s="14">
        <v>4</v>
      </c>
      <c r="AO201" s="17">
        <f t="shared" si="4"/>
        <v>32</v>
      </c>
      <c r="AP201" s="17">
        <f t="shared" si="5"/>
        <v>71.111111111111114</v>
      </c>
      <c r="AQ201" s="16">
        <v>2</v>
      </c>
      <c r="AR201" s="16">
        <v>4</v>
      </c>
      <c r="AS201" s="16">
        <v>3</v>
      </c>
      <c r="AT201" s="16">
        <v>3</v>
      </c>
      <c r="AU201" s="16">
        <v>5</v>
      </c>
      <c r="AV201" s="16">
        <v>5</v>
      </c>
      <c r="AW201" s="16">
        <v>4</v>
      </c>
      <c r="AX201" s="16">
        <v>3</v>
      </c>
      <c r="AY201" s="16">
        <v>5</v>
      </c>
      <c r="AZ201" s="16">
        <v>5</v>
      </c>
      <c r="BA201" s="18">
        <f t="shared" si="6"/>
        <v>39</v>
      </c>
      <c r="BB201" s="18">
        <f t="shared" si="7"/>
        <v>78</v>
      </c>
    </row>
    <row r="202" spans="1:54" ht="22.5" customHeight="1" x14ac:dyDescent="0.2">
      <c r="A202" s="9" t="s">
        <v>67</v>
      </c>
      <c r="B202" s="9" t="s">
        <v>68</v>
      </c>
      <c r="C202" s="9" t="s">
        <v>55</v>
      </c>
      <c r="D202" s="1" t="s">
        <v>100</v>
      </c>
      <c r="E202" s="9" t="s">
        <v>59</v>
      </c>
      <c r="F202" s="9" t="s">
        <v>71</v>
      </c>
      <c r="G202" s="9" t="s">
        <v>86</v>
      </c>
      <c r="H202" s="9" t="s">
        <v>97</v>
      </c>
      <c r="I202" s="9" t="s">
        <v>72</v>
      </c>
      <c r="J202" s="11">
        <v>1</v>
      </c>
      <c r="K202" s="11">
        <v>1</v>
      </c>
      <c r="L202" s="11">
        <v>0</v>
      </c>
      <c r="M202" s="11">
        <v>1</v>
      </c>
      <c r="N202" s="11">
        <v>0.5</v>
      </c>
      <c r="O202" s="11">
        <v>1</v>
      </c>
      <c r="P202" s="11">
        <v>1</v>
      </c>
      <c r="Q202" s="11">
        <v>1</v>
      </c>
      <c r="R202" s="11">
        <v>0.5</v>
      </c>
      <c r="S202" s="11">
        <v>2</v>
      </c>
      <c r="T202" s="13">
        <f t="shared" si="0"/>
        <v>9</v>
      </c>
      <c r="U202" s="13">
        <f t="shared" si="1"/>
        <v>50</v>
      </c>
      <c r="V202" s="12">
        <v>0</v>
      </c>
      <c r="W202" s="12">
        <v>1</v>
      </c>
      <c r="X202" s="12">
        <v>1</v>
      </c>
      <c r="Y202" s="12">
        <v>1</v>
      </c>
      <c r="Z202" s="12">
        <v>1</v>
      </c>
      <c r="AA202" s="12">
        <v>1</v>
      </c>
      <c r="AB202" s="12">
        <v>1</v>
      </c>
      <c r="AC202" s="12">
        <v>1</v>
      </c>
      <c r="AD202" s="15">
        <f t="shared" si="2"/>
        <v>7</v>
      </c>
      <c r="AE202" s="15">
        <f t="shared" si="3"/>
        <v>87.5</v>
      </c>
      <c r="AF202" s="14">
        <v>4</v>
      </c>
      <c r="AG202" s="14">
        <v>2</v>
      </c>
      <c r="AH202" s="14">
        <v>4</v>
      </c>
      <c r="AI202" s="14">
        <v>4</v>
      </c>
      <c r="AJ202" s="14">
        <v>5</v>
      </c>
      <c r="AK202" s="14">
        <v>1</v>
      </c>
      <c r="AL202" s="14">
        <v>4</v>
      </c>
      <c r="AM202" s="14">
        <v>5</v>
      </c>
      <c r="AN202" s="14">
        <v>4</v>
      </c>
      <c r="AO202" s="17">
        <f t="shared" si="4"/>
        <v>33</v>
      </c>
      <c r="AP202" s="17">
        <f t="shared" si="5"/>
        <v>73.333333333333329</v>
      </c>
      <c r="AQ202" s="16">
        <v>5</v>
      </c>
      <c r="AR202" s="16">
        <v>4</v>
      </c>
      <c r="AS202" s="16">
        <v>1</v>
      </c>
      <c r="AT202" s="16">
        <v>5</v>
      </c>
      <c r="AU202" s="16">
        <v>5</v>
      </c>
      <c r="AV202" s="16">
        <v>5</v>
      </c>
      <c r="AW202" s="16">
        <v>3</v>
      </c>
      <c r="AX202" s="16">
        <v>4</v>
      </c>
      <c r="AY202" s="16">
        <v>5</v>
      </c>
      <c r="AZ202" s="16">
        <v>4</v>
      </c>
      <c r="BA202" s="18">
        <f t="shared" si="6"/>
        <v>41</v>
      </c>
      <c r="BB202" s="18">
        <f t="shared" si="7"/>
        <v>82</v>
      </c>
    </row>
    <row r="203" spans="1:54" ht="22.5" customHeight="1" x14ac:dyDescent="0.2">
      <c r="A203" s="9" t="s">
        <v>52</v>
      </c>
      <c r="B203" s="9" t="s">
        <v>54</v>
      </c>
      <c r="C203" s="9" t="s">
        <v>55</v>
      </c>
      <c r="D203" s="1" t="s">
        <v>75</v>
      </c>
      <c r="E203" s="9" t="s">
        <v>92</v>
      </c>
      <c r="F203" s="9" t="s">
        <v>71</v>
      </c>
      <c r="G203" s="9" t="s">
        <v>76</v>
      </c>
      <c r="H203" s="9" t="s">
        <v>99</v>
      </c>
      <c r="I203" s="9" t="s">
        <v>81</v>
      </c>
      <c r="J203" s="11">
        <v>1</v>
      </c>
      <c r="K203" s="11">
        <v>1</v>
      </c>
      <c r="L203" s="11">
        <v>3</v>
      </c>
      <c r="M203" s="11">
        <v>0.5</v>
      </c>
      <c r="N203" s="11">
        <v>0.5</v>
      </c>
      <c r="O203" s="11">
        <v>1</v>
      </c>
      <c r="P203" s="11">
        <v>2</v>
      </c>
      <c r="Q203" s="11">
        <v>1</v>
      </c>
      <c r="R203" s="11">
        <v>0.5</v>
      </c>
      <c r="S203" s="11">
        <v>2</v>
      </c>
      <c r="T203" s="13">
        <f t="shared" si="0"/>
        <v>12.5</v>
      </c>
      <c r="U203" s="13">
        <f t="shared" si="1"/>
        <v>69.444444444444443</v>
      </c>
      <c r="V203" s="12">
        <v>0</v>
      </c>
      <c r="W203" s="12">
        <v>0</v>
      </c>
      <c r="X203" s="12">
        <v>0</v>
      </c>
      <c r="Y203" s="12">
        <v>1</v>
      </c>
      <c r="Z203" s="12">
        <v>1</v>
      </c>
      <c r="AA203" s="12">
        <v>1</v>
      </c>
      <c r="AB203" s="12">
        <v>1</v>
      </c>
      <c r="AC203" s="12">
        <v>1</v>
      </c>
      <c r="AD203" s="15">
        <f t="shared" si="2"/>
        <v>5</v>
      </c>
      <c r="AE203" s="15">
        <f t="shared" si="3"/>
        <v>62.5</v>
      </c>
      <c r="AF203" s="14">
        <v>5</v>
      </c>
      <c r="AG203" s="14">
        <v>5</v>
      </c>
      <c r="AH203" s="14">
        <v>5</v>
      </c>
      <c r="AI203" s="14">
        <v>4</v>
      </c>
      <c r="AJ203" s="14">
        <v>1</v>
      </c>
      <c r="AK203" s="14">
        <v>3</v>
      </c>
      <c r="AL203" s="14">
        <v>5</v>
      </c>
      <c r="AM203" s="14">
        <v>4</v>
      </c>
      <c r="AN203" s="14">
        <v>3</v>
      </c>
      <c r="AO203" s="17">
        <f t="shared" si="4"/>
        <v>35</v>
      </c>
      <c r="AP203" s="17">
        <f t="shared" si="5"/>
        <v>77.777777777777786</v>
      </c>
      <c r="AQ203" s="16">
        <v>5</v>
      </c>
      <c r="AR203" s="16">
        <v>3</v>
      </c>
      <c r="AS203" s="16">
        <v>4</v>
      </c>
      <c r="AT203" s="16">
        <v>2</v>
      </c>
      <c r="AU203" s="16">
        <v>5</v>
      </c>
      <c r="AV203" s="16">
        <v>5</v>
      </c>
      <c r="AW203" s="16">
        <v>5</v>
      </c>
      <c r="AX203" s="16">
        <v>3</v>
      </c>
      <c r="AY203" s="16">
        <v>5</v>
      </c>
      <c r="AZ203" s="16">
        <v>3</v>
      </c>
      <c r="BA203" s="18">
        <f t="shared" si="6"/>
        <v>40</v>
      </c>
      <c r="BB203" s="18">
        <f t="shared" si="7"/>
        <v>80</v>
      </c>
    </row>
    <row r="204" spans="1:54" ht="22.5" customHeight="1" x14ac:dyDescent="0.2">
      <c r="A204" s="9" t="s">
        <v>52</v>
      </c>
      <c r="B204" s="9" t="s">
        <v>68</v>
      </c>
      <c r="C204" s="9" t="s">
        <v>69</v>
      </c>
      <c r="D204" s="1" t="s">
        <v>100</v>
      </c>
      <c r="E204" s="9" t="s">
        <v>92</v>
      </c>
      <c r="F204" s="9" t="s">
        <v>92</v>
      </c>
      <c r="G204" s="9" t="s">
        <v>61</v>
      </c>
      <c r="H204" s="9" t="s">
        <v>57</v>
      </c>
      <c r="I204" s="9" t="s">
        <v>81</v>
      </c>
      <c r="J204" s="11">
        <v>1</v>
      </c>
      <c r="K204" s="11">
        <v>1</v>
      </c>
      <c r="L204" s="11">
        <v>0</v>
      </c>
      <c r="M204" s="11">
        <v>1</v>
      </c>
      <c r="N204" s="11">
        <v>0.5</v>
      </c>
      <c r="O204" s="11">
        <v>1</v>
      </c>
      <c r="P204" s="11">
        <v>2</v>
      </c>
      <c r="Q204" s="11">
        <v>1</v>
      </c>
      <c r="R204" s="11">
        <v>2</v>
      </c>
      <c r="S204" s="11">
        <v>2</v>
      </c>
      <c r="T204" s="13">
        <f t="shared" si="0"/>
        <v>11.5</v>
      </c>
      <c r="U204" s="13">
        <f t="shared" si="1"/>
        <v>63.888888888888886</v>
      </c>
      <c r="V204" s="12">
        <v>1</v>
      </c>
      <c r="W204" s="12">
        <v>1</v>
      </c>
      <c r="X204" s="12">
        <v>1</v>
      </c>
      <c r="Y204" s="12">
        <v>1</v>
      </c>
      <c r="Z204" s="12">
        <v>1</v>
      </c>
      <c r="AA204" s="12">
        <v>1</v>
      </c>
      <c r="AB204" s="12">
        <v>1</v>
      </c>
      <c r="AC204" s="12">
        <v>1</v>
      </c>
      <c r="AD204" s="15">
        <f t="shared" si="2"/>
        <v>8</v>
      </c>
      <c r="AE204" s="15">
        <f t="shared" si="3"/>
        <v>100</v>
      </c>
      <c r="AF204" s="14">
        <v>5</v>
      </c>
      <c r="AG204" s="14">
        <v>5</v>
      </c>
      <c r="AH204" s="14">
        <v>5</v>
      </c>
      <c r="AI204" s="14">
        <v>5</v>
      </c>
      <c r="AJ204" s="14">
        <v>5</v>
      </c>
      <c r="AK204" s="14">
        <v>5</v>
      </c>
      <c r="AL204" s="14">
        <v>5</v>
      </c>
      <c r="AM204" s="14">
        <v>5</v>
      </c>
      <c r="AN204" s="14">
        <v>5</v>
      </c>
      <c r="AO204" s="17">
        <f t="shared" si="4"/>
        <v>45</v>
      </c>
      <c r="AP204" s="17">
        <f t="shared" si="5"/>
        <v>100</v>
      </c>
      <c r="AQ204" s="16">
        <v>5</v>
      </c>
      <c r="AR204" s="16">
        <v>5</v>
      </c>
      <c r="AS204" s="16">
        <v>5</v>
      </c>
      <c r="AT204" s="16">
        <v>5</v>
      </c>
      <c r="AU204" s="16">
        <v>5</v>
      </c>
      <c r="AV204" s="16">
        <v>5</v>
      </c>
      <c r="AW204" s="16">
        <v>5</v>
      </c>
      <c r="AX204" s="16">
        <v>5</v>
      </c>
      <c r="AY204" s="16">
        <v>5</v>
      </c>
      <c r="AZ204" s="16">
        <v>5</v>
      </c>
      <c r="BA204" s="18">
        <f t="shared" si="6"/>
        <v>50</v>
      </c>
      <c r="BB204" s="18">
        <f t="shared" si="7"/>
        <v>100</v>
      </c>
    </row>
    <row r="205" spans="1:54" ht="22.5" customHeight="1" x14ac:dyDescent="0.2">
      <c r="A205" s="9" t="s">
        <v>67</v>
      </c>
      <c r="B205" s="9" t="s">
        <v>54</v>
      </c>
      <c r="C205" s="9" t="s">
        <v>55</v>
      </c>
      <c r="D205" s="1" t="s">
        <v>84</v>
      </c>
      <c r="E205" s="9" t="s">
        <v>60</v>
      </c>
      <c r="F205" s="9" t="s">
        <v>85</v>
      </c>
      <c r="G205" s="9" t="s">
        <v>76</v>
      </c>
      <c r="H205" s="9" t="s">
        <v>97</v>
      </c>
      <c r="I205" s="9" t="s">
        <v>96</v>
      </c>
      <c r="J205" s="11">
        <v>1</v>
      </c>
      <c r="K205" s="11">
        <v>1</v>
      </c>
      <c r="L205" s="11">
        <v>0</v>
      </c>
      <c r="M205" s="11">
        <v>1</v>
      </c>
      <c r="N205" s="11">
        <v>0.5</v>
      </c>
      <c r="O205" s="11">
        <v>1</v>
      </c>
      <c r="P205" s="11">
        <v>1.5</v>
      </c>
      <c r="Q205" s="11">
        <v>1</v>
      </c>
      <c r="R205" s="11">
        <v>0.5</v>
      </c>
      <c r="S205" s="11">
        <v>0.5</v>
      </c>
      <c r="T205" s="13">
        <f t="shared" si="0"/>
        <v>8</v>
      </c>
      <c r="U205" s="13">
        <f t="shared" si="1"/>
        <v>44.444444444444443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1</v>
      </c>
      <c r="AB205" s="12">
        <v>1</v>
      </c>
      <c r="AC205" s="12">
        <v>1</v>
      </c>
      <c r="AD205" s="15">
        <f t="shared" si="2"/>
        <v>3</v>
      </c>
      <c r="AE205" s="15">
        <f t="shared" si="3"/>
        <v>37.5</v>
      </c>
      <c r="AF205" s="14">
        <v>3</v>
      </c>
      <c r="AG205" s="14">
        <v>3</v>
      </c>
      <c r="AH205" s="14">
        <v>3</v>
      </c>
      <c r="AI205" s="14">
        <v>3</v>
      </c>
      <c r="AJ205" s="14">
        <v>3</v>
      </c>
      <c r="AK205" s="14">
        <v>4</v>
      </c>
      <c r="AL205" s="14">
        <v>4</v>
      </c>
      <c r="AM205" s="14">
        <v>4</v>
      </c>
      <c r="AN205" s="14">
        <v>5</v>
      </c>
      <c r="AO205" s="17">
        <f t="shared" si="4"/>
        <v>32</v>
      </c>
      <c r="AP205" s="17">
        <f t="shared" si="5"/>
        <v>71.111111111111114</v>
      </c>
      <c r="AQ205" s="16">
        <v>3</v>
      </c>
      <c r="AR205" s="16">
        <v>3</v>
      </c>
      <c r="AS205" s="16">
        <v>3</v>
      </c>
      <c r="AT205" s="16">
        <v>3</v>
      </c>
      <c r="AU205" s="16">
        <v>5</v>
      </c>
      <c r="AV205" s="16">
        <v>5</v>
      </c>
      <c r="AW205" s="16">
        <v>5</v>
      </c>
      <c r="AX205" s="16">
        <v>5</v>
      </c>
      <c r="AY205" s="16">
        <v>1</v>
      </c>
      <c r="AZ205" s="16">
        <v>4</v>
      </c>
      <c r="BA205" s="18">
        <f t="shared" si="6"/>
        <v>37</v>
      </c>
      <c r="BB205" s="18">
        <f t="shared" si="7"/>
        <v>74</v>
      </c>
    </row>
    <row r="206" spans="1:54" ht="22.5" customHeight="1" x14ac:dyDescent="0.2">
      <c r="A206" s="9" t="s">
        <v>67</v>
      </c>
      <c r="B206" s="9" t="s">
        <v>68</v>
      </c>
      <c r="C206" s="9" t="s">
        <v>55</v>
      </c>
      <c r="D206" s="1" t="s">
        <v>84</v>
      </c>
      <c r="E206" s="9" t="s">
        <v>85</v>
      </c>
      <c r="F206" s="9" t="s">
        <v>85</v>
      </c>
      <c r="G206" s="9" t="s">
        <v>76</v>
      </c>
      <c r="H206" s="9" t="s">
        <v>57</v>
      </c>
      <c r="I206" s="9" t="s">
        <v>81</v>
      </c>
      <c r="J206" s="11">
        <v>0</v>
      </c>
      <c r="K206" s="11">
        <v>1</v>
      </c>
      <c r="L206" s="11">
        <v>2</v>
      </c>
      <c r="M206" s="11">
        <v>1</v>
      </c>
      <c r="N206" s="11">
        <v>0.5</v>
      </c>
      <c r="O206" s="11">
        <v>1</v>
      </c>
      <c r="P206" s="11">
        <v>2</v>
      </c>
      <c r="Q206" s="11">
        <v>1</v>
      </c>
      <c r="R206" s="11">
        <v>1.5</v>
      </c>
      <c r="S206" s="11">
        <v>1.5</v>
      </c>
      <c r="T206" s="13">
        <f t="shared" si="0"/>
        <v>11.5</v>
      </c>
      <c r="U206" s="13">
        <f t="shared" si="1"/>
        <v>63.888888888888886</v>
      </c>
      <c r="V206" s="12">
        <v>1</v>
      </c>
      <c r="W206" s="12">
        <v>1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5">
        <f t="shared" si="2"/>
        <v>2</v>
      </c>
      <c r="AE206" s="15">
        <f t="shared" si="3"/>
        <v>25</v>
      </c>
      <c r="AF206" s="14">
        <v>4</v>
      </c>
      <c r="AG206" s="14">
        <v>4</v>
      </c>
      <c r="AH206" s="14">
        <v>4</v>
      </c>
      <c r="AI206" s="14">
        <v>4</v>
      </c>
      <c r="AJ206" s="14">
        <v>4</v>
      </c>
      <c r="AK206" s="14">
        <v>4</v>
      </c>
      <c r="AL206" s="14">
        <v>4</v>
      </c>
      <c r="AM206" s="14">
        <v>4</v>
      </c>
      <c r="AN206" s="14">
        <v>4</v>
      </c>
      <c r="AO206" s="17">
        <f t="shared" si="4"/>
        <v>36</v>
      </c>
      <c r="AP206" s="17">
        <f t="shared" si="5"/>
        <v>80</v>
      </c>
      <c r="AQ206" s="16">
        <v>5</v>
      </c>
      <c r="AR206" s="16">
        <v>5</v>
      </c>
      <c r="AS206" s="16">
        <v>4</v>
      </c>
      <c r="AT206" s="16">
        <v>4</v>
      </c>
      <c r="AU206" s="16">
        <v>5</v>
      </c>
      <c r="AV206" s="16">
        <v>4</v>
      </c>
      <c r="AW206" s="16">
        <v>5</v>
      </c>
      <c r="AX206" s="16">
        <v>2</v>
      </c>
      <c r="AY206" s="16">
        <v>1</v>
      </c>
      <c r="AZ206" s="16">
        <v>2</v>
      </c>
      <c r="BA206" s="18">
        <f t="shared" si="6"/>
        <v>37</v>
      </c>
      <c r="BB206" s="18">
        <f t="shared" si="7"/>
        <v>74</v>
      </c>
    </row>
    <row r="207" spans="1:54" ht="22.5" customHeight="1" x14ac:dyDescent="0.2">
      <c r="A207" s="9" t="s">
        <v>67</v>
      </c>
      <c r="B207" s="9" t="s">
        <v>68</v>
      </c>
      <c r="C207" s="9" t="s">
        <v>69</v>
      </c>
      <c r="D207" s="1" t="s">
        <v>70</v>
      </c>
      <c r="E207" s="9" t="s">
        <v>59</v>
      </c>
      <c r="F207" s="9" t="s">
        <v>59</v>
      </c>
      <c r="G207" s="9" t="s">
        <v>76</v>
      </c>
      <c r="H207" s="9" t="s">
        <v>57</v>
      </c>
      <c r="I207" s="9" t="s">
        <v>96</v>
      </c>
      <c r="J207" s="11">
        <v>1</v>
      </c>
      <c r="K207" s="11">
        <v>1</v>
      </c>
      <c r="L207" s="11">
        <v>4</v>
      </c>
      <c r="M207" s="11">
        <v>2</v>
      </c>
      <c r="N207" s="11">
        <v>2</v>
      </c>
      <c r="O207" s="11">
        <v>1</v>
      </c>
      <c r="P207" s="11">
        <v>1.5</v>
      </c>
      <c r="Q207" s="11">
        <v>1</v>
      </c>
      <c r="R207" s="11">
        <v>1.5</v>
      </c>
      <c r="S207" s="11">
        <v>2</v>
      </c>
      <c r="T207" s="13">
        <f t="shared" si="0"/>
        <v>17</v>
      </c>
      <c r="U207" s="13">
        <f t="shared" si="1"/>
        <v>94.444444444444443</v>
      </c>
      <c r="V207" s="12">
        <v>1</v>
      </c>
      <c r="W207" s="12">
        <v>1</v>
      </c>
      <c r="X207" s="12">
        <v>1</v>
      </c>
      <c r="Y207" s="12">
        <v>1</v>
      </c>
      <c r="Z207" s="12">
        <v>1</v>
      </c>
      <c r="AA207" s="12">
        <v>1</v>
      </c>
      <c r="AB207" s="12">
        <v>1</v>
      </c>
      <c r="AC207" s="12">
        <v>1</v>
      </c>
      <c r="AD207" s="15">
        <f t="shared" si="2"/>
        <v>8</v>
      </c>
      <c r="AE207" s="15">
        <f t="shared" si="3"/>
        <v>100</v>
      </c>
      <c r="AF207" s="14">
        <v>5</v>
      </c>
      <c r="AG207" s="14">
        <v>4</v>
      </c>
      <c r="AH207" s="14">
        <v>4</v>
      </c>
      <c r="AI207" s="14">
        <v>5</v>
      </c>
      <c r="AJ207" s="14">
        <v>5</v>
      </c>
      <c r="AK207" s="14">
        <v>5</v>
      </c>
      <c r="AL207" s="14">
        <v>5</v>
      </c>
      <c r="AM207" s="14">
        <v>5</v>
      </c>
      <c r="AN207" s="14">
        <v>5</v>
      </c>
      <c r="AO207" s="17">
        <f t="shared" si="4"/>
        <v>43</v>
      </c>
      <c r="AP207" s="17">
        <f t="shared" si="5"/>
        <v>95.555555555555557</v>
      </c>
      <c r="AQ207" s="16">
        <v>5</v>
      </c>
      <c r="AR207" s="16">
        <v>5</v>
      </c>
      <c r="AS207" s="16">
        <v>5</v>
      </c>
      <c r="AT207" s="16">
        <v>5</v>
      </c>
      <c r="AU207" s="16">
        <v>5</v>
      </c>
      <c r="AV207" s="16">
        <v>5</v>
      </c>
      <c r="AW207" s="16">
        <v>5</v>
      </c>
      <c r="AX207" s="16">
        <v>5</v>
      </c>
      <c r="AY207" s="16">
        <v>5</v>
      </c>
      <c r="AZ207" s="16">
        <v>5</v>
      </c>
      <c r="BA207" s="18">
        <f t="shared" si="6"/>
        <v>50</v>
      </c>
      <c r="BB207" s="18">
        <f t="shared" si="7"/>
        <v>100</v>
      </c>
    </row>
    <row r="208" spans="1:54" ht="22.5" customHeight="1" x14ac:dyDescent="0.2">
      <c r="A208" s="9" t="s">
        <v>74</v>
      </c>
      <c r="B208" s="9" t="s">
        <v>54</v>
      </c>
      <c r="C208" s="9" t="s">
        <v>55</v>
      </c>
      <c r="D208" s="1" t="s">
        <v>57</v>
      </c>
      <c r="E208" s="9" t="s">
        <v>71</v>
      </c>
      <c r="F208" s="9" t="s">
        <v>71</v>
      </c>
      <c r="G208" s="9" t="s">
        <v>76</v>
      </c>
      <c r="H208" s="9" t="s">
        <v>97</v>
      </c>
      <c r="I208" s="9" t="s">
        <v>62</v>
      </c>
      <c r="J208" s="11">
        <v>1</v>
      </c>
      <c r="K208" s="11">
        <v>1</v>
      </c>
      <c r="L208" s="11">
        <v>2</v>
      </c>
      <c r="M208" s="11">
        <v>1</v>
      </c>
      <c r="N208" s="11">
        <v>1</v>
      </c>
      <c r="O208" s="11">
        <v>1</v>
      </c>
      <c r="P208" s="11">
        <v>2</v>
      </c>
      <c r="Q208" s="11">
        <v>1</v>
      </c>
      <c r="R208" s="11">
        <v>1.5</v>
      </c>
      <c r="S208" s="11">
        <v>2</v>
      </c>
      <c r="T208" s="13">
        <f t="shared" si="0"/>
        <v>13.5</v>
      </c>
      <c r="U208" s="13">
        <f t="shared" si="1"/>
        <v>75</v>
      </c>
      <c r="V208" s="12">
        <v>1</v>
      </c>
      <c r="W208" s="12">
        <v>1</v>
      </c>
      <c r="X208" s="12">
        <v>1</v>
      </c>
      <c r="Y208" s="12">
        <v>1</v>
      </c>
      <c r="Z208" s="12">
        <v>1</v>
      </c>
      <c r="AA208" s="12">
        <v>1</v>
      </c>
      <c r="AB208" s="12">
        <v>1</v>
      </c>
      <c r="AC208" s="12">
        <v>1</v>
      </c>
      <c r="AD208" s="15">
        <f t="shared" si="2"/>
        <v>8</v>
      </c>
      <c r="AE208" s="15">
        <f t="shared" si="3"/>
        <v>100</v>
      </c>
      <c r="AF208" s="14">
        <v>5</v>
      </c>
      <c r="AG208" s="14">
        <v>5</v>
      </c>
      <c r="AH208" s="14">
        <v>5</v>
      </c>
      <c r="AI208" s="14">
        <v>5</v>
      </c>
      <c r="AJ208" s="14">
        <v>5</v>
      </c>
      <c r="AK208" s="14">
        <v>4</v>
      </c>
      <c r="AL208" s="14">
        <v>5</v>
      </c>
      <c r="AM208" s="14">
        <v>5</v>
      </c>
      <c r="AN208" s="14">
        <v>5</v>
      </c>
      <c r="AO208" s="17">
        <f t="shared" si="4"/>
        <v>44</v>
      </c>
      <c r="AP208" s="17">
        <f t="shared" si="5"/>
        <v>97.777777777777771</v>
      </c>
      <c r="AQ208" s="16">
        <v>5</v>
      </c>
      <c r="AR208" s="16">
        <v>5</v>
      </c>
      <c r="AS208" s="16">
        <v>4</v>
      </c>
      <c r="AT208" s="16">
        <v>5</v>
      </c>
      <c r="AU208" s="16">
        <v>5</v>
      </c>
      <c r="AV208" s="16">
        <v>4</v>
      </c>
      <c r="AW208" s="16">
        <v>5</v>
      </c>
      <c r="AX208" s="16">
        <v>5</v>
      </c>
      <c r="AY208" s="16">
        <v>5</v>
      </c>
      <c r="AZ208" s="16">
        <v>5</v>
      </c>
      <c r="BA208" s="18">
        <f t="shared" si="6"/>
        <v>48</v>
      </c>
      <c r="BB208" s="18">
        <f t="shared" si="7"/>
        <v>96</v>
      </c>
    </row>
    <row r="209" spans="1:54" ht="22.5" customHeight="1" x14ac:dyDescent="0.2">
      <c r="A209" s="9" t="s">
        <v>74</v>
      </c>
      <c r="B209" s="9" t="s">
        <v>54</v>
      </c>
      <c r="C209" s="9" t="s">
        <v>55</v>
      </c>
      <c r="D209" s="1" t="s">
        <v>70</v>
      </c>
      <c r="E209" s="9" t="s">
        <v>60</v>
      </c>
      <c r="F209" s="9" t="s">
        <v>92</v>
      </c>
      <c r="G209" s="9" t="s">
        <v>61</v>
      </c>
      <c r="H209" s="9" t="s">
        <v>57</v>
      </c>
      <c r="I209" s="9" t="s">
        <v>81</v>
      </c>
      <c r="J209" s="11">
        <v>1</v>
      </c>
      <c r="K209" s="11">
        <v>1</v>
      </c>
      <c r="L209" s="11">
        <v>1</v>
      </c>
      <c r="M209" s="11">
        <v>2</v>
      </c>
      <c r="N209" s="11">
        <v>1.5</v>
      </c>
      <c r="O209" s="11">
        <v>0</v>
      </c>
      <c r="P209" s="11">
        <v>1</v>
      </c>
      <c r="Q209" s="11">
        <v>1</v>
      </c>
      <c r="R209" s="11">
        <v>0</v>
      </c>
      <c r="S209" s="11">
        <v>1</v>
      </c>
      <c r="T209" s="13">
        <f t="shared" si="0"/>
        <v>9.5</v>
      </c>
      <c r="U209" s="13">
        <f t="shared" si="1"/>
        <v>52.777777777777779</v>
      </c>
      <c r="V209" s="12">
        <v>1</v>
      </c>
      <c r="W209" s="12">
        <v>1</v>
      </c>
      <c r="X209" s="12">
        <v>1</v>
      </c>
      <c r="Y209" s="12">
        <v>1</v>
      </c>
      <c r="Z209" s="12">
        <v>1</v>
      </c>
      <c r="AA209" s="12">
        <v>1</v>
      </c>
      <c r="AB209" s="12">
        <v>1</v>
      </c>
      <c r="AC209" s="12">
        <v>1</v>
      </c>
      <c r="AD209" s="15">
        <f t="shared" si="2"/>
        <v>8</v>
      </c>
      <c r="AE209" s="15">
        <f t="shared" si="3"/>
        <v>100</v>
      </c>
      <c r="AF209" s="14">
        <v>3</v>
      </c>
      <c r="AG209" s="14">
        <v>5</v>
      </c>
      <c r="AH209" s="14">
        <v>5</v>
      </c>
      <c r="AI209" s="14">
        <v>5</v>
      </c>
      <c r="AJ209" s="14">
        <v>5</v>
      </c>
      <c r="AK209" s="14">
        <v>5</v>
      </c>
      <c r="AL209" s="14">
        <v>5</v>
      </c>
      <c r="AM209" s="14">
        <v>5</v>
      </c>
      <c r="AN209" s="14">
        <v>5</v>
      </c>
      <c r="AO209" s="17">
        <f t="shared" si="4"/>
        <v>43</v>
      </c>
      <c r="AP209" s="17">
        <f t="shared" si="5"/>
        <v>95.555555555555557</v>
      </c>
      <c r="AQ209" s="16">
        <v>5</v>
      </c>
      <c r="AR209" s="16">
        <v>5</v>
      </c>
      <c r="AS209" s="16">
        <v>5</v>
      </c>
      <c r="AT209" s="16">
        <v>3</v>
      </c>
      <c r="AU209" s="16">
        <v>5</v>
      </c>
      <c r="AV209" s="16">
        <v>5</v>
      </c>
      <c r="AW209" s="16">
        <v>5</v>
      </c>
      <c r="AX209" s="16">
        <v>5</v>
      </c>
      <c r="AY209" s="16">
        <v>5</v>
      </c>
      <c r="AZ209" s="16">
        <v>1</v>
      </c>
      <c r="BA209" s="18">
        <f t="shared" si="6"/>
        <v>44</v>
      </c>
      <c r="BB209" s="18">
        <f t="shared" si="7"/>
        <v>88</v>
      </c>
    </row>
    <row r="210" spans="1:54" ht="22.5" customHeight="1" x14ac:dyDescent="0.2">
      <c r="A210" s="9" t="s">
        <v>93</v>
      </c>
      <c r="B210" s="9" t="s">
        <v>54</v>
      </c>
      <c r="C210" s="9" t="s">
        <v>55</v>
      </c>
      <c r="D210" s="1" t="s">
        <v>84</v>
      </c>
      <c r="E210" s="9" t="s">
        <v>92</v>
      </c>
      <c r="F210" s="9" t="s">
        <v>85</v>
      </c>
      <c r="G210" s="9" t="s">
        <v>61</v>
      </c>
      <c r="H210" s="9" t="s">
        <v>101</v>
      </c>
      <c r="I210" s="9" t="s">
        <v>81</v>
      </c>
      <c r="J210" s="11">
        <v>1</v>
      </c>
      <c r="K210" s="11">
        <v>1</v>
      </c>
      <c r="L210" s="11">
        <v>2</v>
      </c>
      <c r="M210" s="11">
        <v>1</v>
      </c>
      <c r="N210" s="11">
        <v>0.5</v>
      </c>
      <c r="O210" s="11">
        <v>1</v>
      </c>
      <c r="P210" s="11">
        <v>2</v>
      </c>
      <c r="Q210" s="11">
        <v>1</v>
      </c>
      <c r="R210" s="11">
        <v>1.5</v>
      </c>
      <c r="S210" s="11">
        <v>2</v>
      </c>
      <c r="T210" s="13">
        <f t="shared" si="0"/>
        <v>13</v>
      </c>
      <c r="U210" s="13">
        <f t="shared" si="1"/>
        <v>72.222222222222214</v>
      </c>
      <c r="V210" s="12">
        <v>1</v>
      </c>
      <c r="W210" s="12">
        <v>1</v>
      </c>
      <c r="X210" s="12">
        <v>1</v>
      </c>
      <c r="Y210" s="12">
        <v>1</v>
      </c>
      <c r="Z210" s="12">
        <v>1</v>
      </c>
      <c r="AA210" s="12">
        <v>1</v>
      </c>
      <c r="AB210" s="12">
        <v>1</v>
      </c>
      <c r="AC210" s="12">
        <v>1</v>
      </c>
      <c r="AD210" s="15">
        <f t="shared" si="2"/>
        <v>8</v>
      </c>
      <c r="AE210" s="15">
        <f t="shared" si="3"/>
        <v>100</v>
      </c>
      <c r="AF210" s="14">
        <v>5</v>
      </c>
      <c r="AG210" s="14">
        <v>5</v>
      </c>
      <c r="AH210" s="14">
        <v>5</v>
      </c>
      <c r="AI210" s="14">
        <v>5</v>
      </c>
      <c r="AJ210" s="14">
        <v>5</v>
      </c>
      <c r="AK210" s="14">
        <v>5</v>
      </c>
      <c r="AL210" s="14">
        <v>5</v>
      </c>
      <c r="AM210" s="14">
        <v>5</v>
      </c>
      <c r="AN210" s="14">
        <v>5</v>
      </c>
      <c r="AO210" s="17">
        <f t="shared" si="4"/>
        <v>45</v>
      </c>
      <c r="AP210" s="17">
        <f t="shared" si="5"/>
        <v>100</v>
      </c>
      <c r="AQ210" s="16">
        <v>5</v>
      </c>
      <c r="AR210" s="16">
        <v>5</v>
      </c>
      <c r="AS210" s="16">
        <v>5</v>
      </c>
      <c r="AT210" s="16">
        <v>5</v>
      </c>
      <c r="AU210" s="16">
        <v>5</v>
      </c>
      <c r="AV210" s="16">
        <v>4</v>
      </c>
      <c r="AW210" s="16">
        <v>4</v>
      </c>
      <c r="AX210" s="16">
        <v>3</v>
      </c>
      <c r="AY210" s="16">
        <v>5</v>
      </c>
      <c r="AZ210" s="16">
        <v>5</v>
      </c>
      <c r="BA210" s="18">
        <f t="shared" si="6"/>
        <v>46</v>
      </c>
      <c r="BB210" s="18">
        <f t="shared" si="7"/>
        <v>92</v>
      </c>
    </row>
    <row r="211" spans="1:54" ht="22.5" customHeight="1" x14ac:dyDescent="0.2">
      <c r="A211" s="9" t="s">
        <v>93</v>
      </c>
      <c r="B211" s="9" t="s">
        <v>68</v>
      </c>
      <c r="C211" s="9" t="s">
        <v>69</v>
      </c>
      <c r="D211" s="1" t="s">
        <v>75</v>
      </c>
      <c r="E211" s="9" t="s">
        <v>71</v>
      </c>
      <c r="F211" s="9" t="s">
        <v>71</v>
      </c>
      <c r="G211" s="9" t="s">
        <v>76</v>
      </c>
      <c r="H211" s="9" t="s">
        <v>99</v>
      </c>
      <c r="I211" s="9" t="s">
        <v>72</v>
      </c>
      <c r="J211" s="11">
        <v>1</v>
      </c>
      <c r="K211" s="11">
        <v>1</v>
      </c>
      <c r="L211" s="11">
        <v>1</v>
      </c>
      <c r="M211" s="11">
        <v>1</v>
      </c>
      <c r="N211" s="11">
        <v>1</v>
      </c>
      <c r="O211" s="11">
        <v>1</v>
      </c>
      <c r="P211" s="11">
        <v>1</v>
      </c>
      <c r="Q211" s="11">
        <v>1</v>
      </c>
      <c r="R211" s="11">
        <v>2</v>
      </c>
      <c r="S211" s="11">
        <v>1.5</v>
      </c>
      <c r="T211" s="13">
        <f t="shared" si="0"/>
        <v>11.5</v>
      </c>
      <c r="U211" s="13">
        <f t="shared" si="1"/>
        <v>63.888888888888886</v>
      </c>
      <c r="V211" s="12">
        <v>1</v>
      </c>
      <c r="W211" s="12">
        <v>1</v>
      </c>
      <c r="X211" s="12">
        <v>1</v>
      </c>
      <c r="Y211" s="12">
        <v>1</v>
      </c>
      <c r="Z211" s="12">
        <v>1</v>
      </c>
      <c r="AA211" s="12">
        <v>1</v>
      </c>
      <c r="AB211" s="12">
        <v>1</v>
      </c>
      <c r="AC211" s="12">
        <v>1</v>
      </c>
      <c r="AD211" s="15">
        <f t="shared" si="2"/>
        <v>8</v>
      </c>
      <c r="AE211" s="15">
        <f t="shared" si="3"/>
        <v>100</v>
      </c>
      <c r="AF211" s="14">
        <v>4</v>
      </c>
      <c r="AG211" s="14">
        <v>4</v>
      </c>
      <c r="AH211" s="14">
        <v>4</v>
      </c>
      <c r="AI211" s="14">
        <v>3</v>
      </c>
      <c r="AJ211" s="14">
        <v>5</v>
      </c>
      <c r="AK211" s="14">
        <v>4</v>
      </c>
      <c r="AL211" s="14">
        <v>5</v>
      </c>
      <c r="AM211" s="14">
        <v>4</v>
      </c>
      <c r="AN211" s="14">
        <v>3</v>
      </c>
      <c r="AO211" s="17">
        <f t="shared" si="4"/>
        <v>36</v>
      </c>
      <c r="AP211" s="17">
        <f t="shared" si="5"/>
        <v>80</v>
      </c>
      <c r="AQ211" s="16">
        <v>3</v>
      </c>
      <c r="AR211" s="16">
        <v>4</v>
      </c>
      <c r="AS211" s="16">
        <v>4</v>
      </c>
      <c r="AT211" s="16">
        <v>4</v>
      </c>
      <c r="AU211" s="16">
        <v>5</v>
      </c>
      <c r="AV211" s="16">
        <v>3</v>
      </c>
      <c r="AW211" s="16">
        <v>3</v>
      </c>
      <c r="AX211" s="16">
        <v>3</v>
      </c>
      <c r="AY211" s="16">
        <v>5</v>
      </c>
      <c r="AZ211" s="16">
        <v>4</v>
      </c>
      <c r="BA211" s="18">
        <f t="shared" si="6"/>
        <v>38</v>
      </c>
      <c r="BB211" s="18">
        <f t="shared" si="7"/>
        <v>76</v>
      </c>
    </row>
    <row r="212" spans="1:54" ht="22.5" customHeight="1" x14ac:dyDescent="0.2">
      <c r="A212" s="9" t="s">
        <v>93</v>
      </c>
      <c r="B212" s="9" t="s">
        <v>68</v>
      </c>
      <c r="C212" s="9" t="s">
        <v>55</v>
      </c>
      <c r="D212" s="1" t="s">
        <v>100</v>
      </c>
      <c r="E212" s="9" t="s">
        <v>92</v>
      </c>
      <c r="F212" s="9" t="s">
        <v>92</v>
      </c>
      <c r="G212" s="9" t="s">
        <v>61</v>
      </c>
      <c r="H212" s="9" t="s">
        <v>57</v>
      </c>
      <c r="I212" s="9" t="s">
        <v>81</v>
      </c>
      <c r="J212" s="11">
        <v>0</v>
      </c>
      <c r="K212" s="11">
        <v>0</v>
      </c>
      <c r="L212" s="11">
        <v>1</v>
      </c>
      <c r="M212" s="11">
        <v>0</v>
      </c>
      <c r="N212" s="11">
        <v>0.5</v>
      </c>
      <c r="O212" s="11">
        <v>0</v>
      </c>
      <c r="P212" s="11">
        <v>1</v>
      </c>
      <c r="Q212" s="11">
        <v>0</v>
      </c>
      <c r="R212" s="11">
        <v>1</v>
      </c>
      <c r="S212" s="11">
        <v>2</v>
      </c>
      <c r="T212" s="13">
        <f t="shared" si="0"/>
        <v>5.5</v>
      </c>
      <c r="U212" s="13">
        <f t="shared" si="1"/>
        <v>30.555555555555557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5">
        <f t="shared" si="2"/>
        <v>0</v>
      </c>
      <c r="AE212" s="15">
        <f t="shared" si="3"/>
        <v>0</v>
      </c>
      <c r="AF212" s="14">
        <v>3</v>
      </c>
      <c r="AG212" s="14">
        <v>3</v>
      </c>
      <c r="AH212" s="14">
        <v>3</v>
      </c>
      <c r="AI212" s="14">
        <v>3</v>
      </c>
      <c r="AJ212" s="14">
        <v>3</v>
      </c>
      <c r="AK212" s="14">
        <v>3</v>
      </c>
      <c r="AL212" s="14">
        <v>4</v>
      </c>
      <c r="AM212" s="14">
        <v>4</v>
      </c>
      <c r="AN212" s="14">
        <v>4</v>
      </c>
      <c r="AO212" s="17">
        <f t="shared" si="4"/>
        <v>30</v>
      </c>
      <c r="AP212" s="17">
        <f t="shared" si="5"/>
        <v>66.666666666666657</v>
      </c>
      <c r="AQ212" s="16">
        <v>4</v>
      </c>
      <c r="AR212" s="16">
        <v>4</v>
      </c>
      <c r="AS212" s="16">
        <v>4</v>
      </c>
      <c r="AT212" s="16">
        <v>3</v>
      </c>
      <c r="AU212" s="16">
        <v>1</v>
      </c>
      <c r="AV212" s="16">
        <v>4</v>
      </c>
      <c r="AW212" s="16">
        <v>4</v>
      </c>
      <c r="AX212" s="16">
        <v>4</v>
      </c>
      <c r="AY212" s="16">
        <v>5</v>
      </c>
      <c r="AZ212" s="16">
        <v>4</v>
      </c>
      <c r="BA212" s="18">
        <f t="shared" si="6"/>
        <v>37</v>
      </c>
      <c r="BB212" s="18">
        <f t="shared" si="7"/>
        <v>74</v>
      </c>
    </row>
    <row r="213" spans="1:54" ht="22.5" customHeight="1" x14ac:dyDescent="0.2">
      <c r="A213" s="9" t="s">
        <v>93</v>
      </c>
      <c r="B213" s="9" t="s">
        <v>54</v>
      </c>
      <c r="C213" s="9" t="s">
        <v>55</v>
      </c>
      <c r="D213" s="1" t="s">
        <v>57</v>
      </c>
      <c r="E213" s="9" t="s">
        <v>85</v>
      </c>
      <c r="F213" s="9" t="s">
        <v>85</v>
      </c>
      <c r="G213" s="9" t="s">
        <v>61</v>
      </c>
      <c r="H213" s="9" t="s">
        <v>57</v>
      </c>
      <c r="I213" s="9" t="s">
        <v>81</v>
      </c>
      <c r="J213" s="11">
        <v>0</v>
      </c>
      <c r="K213" s="11">
        <v>0</v>
      </c>
      <c r="L213" s="11">
        <v>1</v>
      </c>
      <c r="M213" s="11">
        <v>0</v>
      </c>
      <c r="N213" s="11">
        <v>1</v>
      </c>
      <c r="O213" s="11">
        <v>0</v>
      </c>
      <c r="P213" s="11">
        <v>0.5</v>
      </c>
      <c r="Q213" s="11">
        <v>0</v>
      </c>
      <c r="R213" s="11">
        <v>1</v>
      </c>
      <c r="S213" s="11">
        <v>1.5</v>
      </c>
      <c r="T213" s="13">
        <f t="shared" si="0"/>
        <v>5</v>
      </c>
      <c r="U213" s="13">
        <f t="shared" si="1"/>
        <v>27.777777777777779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5">
        <f t="shared" si="2"/>
        <v>0</v>
      </c>
      <c r="AE213" s="15">
        <f t="shared" si="3"/>
        <v>0</v>
      </c>
      <c r="AF213" s="14">
        <v>3</v>
      </c>
      <c r="AG213" s="14">
        <v>3</v>
      </c>
      <c r="AH213" s="14">
        <v>3</v>
      </c>
      <c r="AI213" s="14">
        <v>3</v>
      </c>
      <c r="AJ213" s="14">
        <v>3</v>
      </c>
      <c r="AK213" s="14">
        <v>3</v>
      </c>
      <c r="AL213" s="14">
        <v>3</v>
      </c>
      <c r="AM213" s="14">
        <v>3</v>
      </c>
      <c r="AN213" s="14">
        <v>3</v>
      </c>
      <c r="AO213" s="17">
        <f t="shared" si="4"/>
        <v>27</v>
      </c>
      <c r="AP213" s="17">
        <f t="shared" si="5"/>
        <v>60</v>
      </c>
      <c r="AQ213" s="16">
        <v>2</v>
      </c>
      <c r="AR213" s="16">
        <v>1</v>
      </c>
      <c r="AS213" s="16">
        <v>3</v>
      </c>
      <c r="AT213" s="16">
        <v>2</v>
      </c>
      <c r="AU213" s="16">
        <v>1</v>
      </c>
      <c r="AV213" s="16">
        <v>2</v>
      </c>
      <c r="AW213" s="16">
        <v>2</v>
      </c>
      <c r="AX213" s="16">
        <v>2</v>
      </c>
      <c r="AY213" s="16">
        <v>1</v>
      </c>
      <c r="AZ213" s="16">
        <v>3</v>
      </c>
      <c r="BA213" s="18">
        <f t="shared" si="6"/>
        <v>19</v>
      </c>
      <c r="BB213" s="18">
        <f t="shared" si="7"/>
        <v>38</v>
      </c>
    </row>
    <row r="214" spans="1:54" ht="22.5" customHeight="1" x14ac:dyDescent="0.2">
      <c r="A214" s="9" t="s">
        <v>52</v>
      </c>
      <c r="B214" s="9" t="s">
        <v>54</v>
      </c>
      <c r="C214" s="9" t="s">
        <v>55</v>
      </c>
      <c r="D214" s="1" t="s">
        <v>57</v>
      </c>
      <c r="E214" s="9" t="s">
        <v>59</v>
      </c>
      <c r="F214" s="9" t="s">
        <v>60</v>
      </c>
      <c r="G214" s="9" t="s">
        <v>61</v>
      </c>
      <c r="H214" s="9" t="s">
        <v>57</v>
      </c>
      <c r="I214" s="9" t="s">
        <v>62</v>
      </c>
      <c r="J214" s="11">
        <v>1</v>
      </c>
      <c r="K214" s="11">
        <v>1</v>
      </c>
      <c r="L214" s="11">
        <v>2</v>
      </c>
      <c r="M214" s="11">
        <v>0.5</v>
      </c>
      <c r="N214" s="11">
        <v>1</v>
      </c>
      <c r="O214" s="11">
        <v>1</v>
      </c>
      <c r="P214" s="11">
        <v>1.5</v>
      </c>
      <c r="Q214" s="11">
        <v>1</v>
      </c>
      <c r="R214" s="11">
        <v>2</v>
      </c>
      <c r="S214" s="11">
        <v>2</v>
      </c>
      <c r="T214" s="13">
        <f t="shared" si="0"/>
        <v>13</v>
      </c>
      <c r="U214" s="13">
        <f t="shared" si="1"/>
        <v>72.222222222222214</v>
      </c>
      <c r="V214" s="12">
        <v>1</v>
      </c>
      <c r="W214" s="12">
        <v>1</v>
      </c>
      <c r="X214" s="12">
        <v>1</v>
      </c>
      <c r="Y214" s="12">
        <v>1</v>
      </c>
      <c r="Z214" s="12">
        <v>1</v>
      </c>
      <c r="AA214" s="12">
        <v>1</v>
      </c>
      <c r="AB214" s="12">
        <v>1</v>
      </c>
      <c r="AC214" s="12">
        <v>1</v>
      </c>
      <c r="AD214" s="15">
        <f t="shared" si="2"/>
        <v>8</v>
      </c>
      <c r="AE214" s="15">
        <f t="shared" si="3"/>
        <v>100</v>
      </c>
      <c r="AF214" s="14">
        <v>5</v>
      </c>
      <c r="AG214" s="14">
        <v>5</v>
      </c>
      <c r="AH214" s="14">
        <v>5</v>
      </c>
      <c r="AI214" s="14">
        <v>5</v>
      </c>
      <c r="AJ214" s="14">
        <v>5</v>
      </c>
      <c r="AK214" s="14">
        <v>5</v>
      </c>
      <c r="AL214" s="14">
        <v>5</v>
      </c>
      <c r="AM214" s="14">
        <v>5</v>
      </c>
      <c r="AN214" s="14">
        <v>5</v>
      </c>
      <c r="AO214" s="17">
        <f t="shared" si="4"/>
        <v>45</v>
      </c>
      <c r="AP214" s="17">
        <f t="shared" si="5"/>
        <v>100</v>
      </c>
      <c r="AQ214" s="16">
        <v>4</v>
      </c>
      <c r="AR214" s="16">
        <v>4</v>
      </c>
      <c r="AS214" s="16">
        <v>4</v>
      </c>
      <c r="AT214" s="16">
        <v>4</v>
      </c>
      <c r="AU214" s="16">
        <v>5</v>
      </c>
      <c r="AV214" s="16">
        <v>4</v>
      </c>
      <c r="AW214" s="16">
        <v>4</v>
      </c>
      <c r="AX214" s="16">
        <v>4</v>
      </c>
      <c r="AY214" s="16">
        <v>5</v>
      </c>
      <c r="AZ214" s="16">
        <v>4</v>
      </c>
      <c r="BA214" s="18">
        <f t="shared" si="6"/>
        <v>42</v>
      </c>
      <c r="BB214" s="18">
        <f t="shared" si="7"/>
        <v>84</v>
      </c>
    </row>
    <row r="215" spans="1:54" ht="22.5" customHeight="1" x14ac:dyDescent="0.2">
      <c r="A215" s="9" t="s">
        <v>93</v>
      </c>
      <c r="B215" s="9" t="s">
        <v>54</v>
      </c>
      <c r="C215" s="9" t="s">
        <v>55</v>
      </c>
      <c r="D215" s="1" t="s">
        <v>100</v>
      </c>
      <c r="E215" s="9" t="s">
        <v>92</v>
      </c>
      <c r="F215" s="9" t="s">
        <v>92</v>
      </c>
      <c r="G215" s="9" t="s">
        <v>61</v>
      </c>
      <c r="H215" s="9" t="s">
        <v>57</v>
      </c>
      <c r="I215" s="9" t="s">
        <v>81</v>
      </c>
      <c r="J215" s="11">
        <v>1</v>
      </c>
      <c r="K215" s="11">
        <v>1</v>
      </c>
      <c r="L215" s="11">
        <v>0</v>
      </c>
      <c r="M215" s="11">
        <v>1</v>
      </c>
      <c r="N215" s="11">
        <v>0.5</v>
      </c>
      <c r="O215" s="11">
        <v>1</v>
      </c>
      <c r="P215" s="11">
        <v>2</v>
      </c>
      <c r="Q215" s="11">
        <v>1</v>
      </c>
      <c r="R215" s="11">
        <v>2</v>
      </c>
      <c r="S215" s="11">
        <v>2</v>
      </c>
      <c r="T215" s="13">
        <f t="shared" si="0"/>
        <v>11.5</v>
      </c>
      <c r="U215" s="13">
        <f t="shared" si="1"/>
        <v>63.888888888888886</v>
      </c>
      <c r="V215" s="12">
        <v>1</v>
      </c>
      <c r="W215" s="12">
        <v>1</v>
      </c>
      <c r="X215" s="12">
        <v>1</v>
      </c>
      <c r="Y215" s="12">
        <v>1</v>
      </c>
      <c r="Z215" s="12">
        <v>1</v>
      </c>
      <c r="AA215" s="12">
        <v>1</v>
      </c>
      <c r="AB215" s="12">
        <v>1</v>
      </c>
      <c r="AC215" s="12">
        <v>1</v>
      </c>
      <c r="AD215" s="15">
        <f t="shared" si="2"/>
        <v>8</v>
      </c>
      <c r="AE215" s="15">
        <f t="shared" si="3"/>
        <v>100</v>
      </c>
      <c r="AF215" s="14">
        <v>5</v>
      </c>
      <c r="AG215" s="14">
        <v>5</v>
      </c>
      <c r="AH215" s="14">
        <v>5</v>
      </c>
      <c r="AI215" s="14">
        <v>5</v>
      </c>
      <c r="AJ215" s="14">
        <v>5</v>
      </c>
      <c r="AK215" s="14">
        <v>5</v>
      </c>
      <c r="AL215" s="14">
        <v>5</v>
      </c>
      <c r="AM215" s="14">
        <v>5</v>
      </c>
      <c r="AN215" s="14">
        <v>5</v>
      </c>
      <c r="AO215" s="17">
        <f t="shared" si="4"/>
        <v>45</v>
      </c>
      <c r="AP215" s="17">
        <f t="shared" si="5"/>
        <v>100</v>
      </c>
      <c r="AQ215" s="16">
        <v>5</v>
      </c>
      <c r="AR215" s="16">
        <v>3</v>
      </c>
      <c r="AS215" s="16">
        <v>3</v>
      </c>
      <c r="AT215" s="16">
        <v>5</v>
      </c>
      <c r="AU215" s="16">
        <v>5</v>
      </c>
      <c r="AV215" s="16">
        <v>3</v>
      </c>
      <c r="AW215" s="16">
        <v>3</v>
      </c>
      <c r="AX215" s="16">
        <v>5</v>
      </c>
      <c r="AY215" s="16">
        <v>5</v>
      </c>
      <c r="AZ215" s="16">
        <v>5</v>
      </c>
      <c r="BA215" s="18">
        <f t="shared" si="6"/>
        <v>42</v>
      </c>
      <c r="BB215" s="18">
        <f t="shared" si="7"/>
        <v>84</v>
      </c>
    </row>
    <row r="216" spans="1:54" ht="22.5" customHeight="1" x14ac:dyDescent="0.2">
      <c r="A216" s="9" t="s">
        <v>93</v>
      </c>
      <c r="B216" s="9" t="s">
        <v>54</v>
      </c>
      <c r="C216" s="9" t="s">
        <v>55</v>
      </c>
      <c r="D216" s="1" t="s">
        <v>70</v>
      </c>
      <c r="E216" s="9" t="s">
        <v>92</v>
      </c>
      <c r="F216" s="9" t="s">
        <v>60</v>
      </c>
      <c r="G216" s="9" t="s">
        <v>61</v>
      </c>
      <c r="H216" s="9" t="s">
        <v>57</v>
      </c>
      <c r="I216" s="9" t="s">
        <v>62</v>
      </c>
      <c r="J216" s="11">
        <v>0</v>
      </c>
      <c r="K216" s="11">
        <v>0</v>
      </c>
      <c r="L216" s="11">
        <v>1</v>
      </c>
      <c r="M216" s="11">
        <v>1</v>
      </c>
      <c r="N216" s="11">
        <v>1</v>
      </c>
      <c r="O216" s="11">
        <v>1</v>
      </c>
      <c r="P216" s="11">
        <v>2</v>
      </c>
      <c r="Q216" s="11">
        <v>1</v>
      </c>
      <c r="R216" s="11">
        <v>1</v>
      </c>
      <c r="S216" s="11">
        <v>1</v>
      </c>
      <c r="T216" s="13">
        <f t="shared" si="0"/>
        <v>9</v>
      </c>
      <c r="U216" s="13">
        <f t="shared" si="1"/>
        <v>50</v>
      </c>
      <c r="V216" s="12">
        <v>1</v>
      </c>
      <c r="W216" s="12">
        <v>1</v>
      </c>
      <c r="X216" s="12">
        <v>1</v>
      </c>
      <c r="Y216" s="12">
        <v>1</v>
      </c>
      <c r="Z216" s="12">
        <v>1</v>
      </c>
      <c r="AA216" s="12">
        <v>1</v>
      </c>
      <c r="AB216" s="12">
        <v>1</v>
      </c>
      <c r="AC216" s="12">
        <v>1</v>
      </c>
      <c r="AD216" s="15">
        <f t="shared" si="2"/>
        <v>8</v>
      </c>
      <c r="AE216" s="15">
        <f t="shared" si="3"/>
        <v>100</v>
      </c>
      <c r="AF216" s="14">
        <v>5</v>
      </c>
      <c r="AG216" s="14">
        <v>5</v>
      </c>
      <c r="AH216" s="14">
        <v>5</v>
      </c>
      <c r="AI216" s="14">
        <v>5</v>
      </c>
      <c r="AJ216" s="14">
        <v>5</v>
      </c>
      <c r="AK216" s="14">
        <v>5</v>
      </c>
      <c r="AL216" s="14">
        <v>5</v>
      </c>
      <c r="AM216" s="14">
        <v>5</v>
      </c>
      <c r="AN216" s="14">
        <v>5</v>
      </c>
      <c r="AO216" s="17">
        <f t="shared" si="4"/>
        <v>45</v>
      </c>
      <c r="AP216" s="17">
        <f t="shared" si="5"/>
        <v>100</v>
      </c>
      <c r="AQ216" s="16">
        <v>5</v>
      </c>
      <c r="AR216" s="16">
        <v>5</v>
      </c>
      <c r="AS216" s="16">
        <v>5</v>
      </c>
      <c r="AT216" s="16">
        <v>5</v>
      </c>
      <c r="AU216" s="16">
        <v>5</v>
      </c>
      <c r="AV216" s="16">
        <v>5</v>
      </c>
      <c r="AW216" s="16">
        <v>5</v>
      </c>
      <c r="AX216" s="16">
        <v>5</v>
      </c>
      <c r="AY216" s="16">
        <v>5</v>
      </c>
      <c r="AZ216" s="16">
        <v>4</v>
      </c>
      <c r="BA216" s="18">
        <f t="shared" si="6"/>
        <v>49</v>
      </c>
      <c r="BB216" s="18">
        <f t="shared" si="7"/>
        <v>98</v>
      </c>
    </row>
    <row r="217" spans="1:54" ht="22.5" customHeight="1" x14ac:dyDescent="0.2">
      <c r="A217" s="9" t="s">
        <v>93</v>
      </c>
      <c r="B217" s="9" t="s">
        <v>54</v>
      </c>
      <c r="C217" s="9" t="s">
        <v>55</v>
      </c>
      <c r="D217" s="1" t="s">
        <v>75</v>
      </c>
      <c r="E217" s="9" t="s">
        <v>92</v>
      </c>
      <c r="F217" s="9" t="s">
        <v>92</v>
      </c>
      <c r="G217" s="9" t="s">
        <v>61</v>
      </c>
      <c r="H217" s="9" t="s">
        <v>57</v>
      </c>
      <c r="I217" s="9" t="s">
        <v>81</v>
      </c>
      <c r="J217" s="11">
        <v>1</v>
      </c>
      <c r="K217" s="11">
        <v>1</v>
      </c>
      <c r="L217" s="11">
        <v>0</v>
      </c>
      <c r="M217" s="11">
        <v>1</v>
      </c>
      <c r="N217" s="11">
        <v>0.5</v>
      </c>
      <c r="O217" s="11">
        <v>1</v>
      </c>
      <c r="P217" s="11">
        <v>2</v>
      </c>
      <c r="Q217" s="11">
        <v>1</v>
      </c>
      <c r="R217" s="11">
        <v>2</v>
      </c>
      <c r="S217" s="11">
        <v>2</v>
      </c>
      <c r="T217" s="13">
        <f t="shared" si="0"/>
        <v>11.5</v>
      </c>
      <c r="U217" s="13">
        <f t="shared" si="1"/>
        <v>63.888888888888886</v>
      </c>
      <c r="V217" s="12">
        <v>1</v>
      </c>
      <c r="W217" s="12">
        <v>1</v>
      </c>
      <c r="X217" s="12">
        <v>1</v>
      </c>
      <c r="Y217" s="12">
        <v>1</v>
      </c>
      <c r="Z217" s="12">
        <v>1</v>
      </c>
      <c r="AA217" s="12">
        <v>1</v>
      </c>
      <c r="AB217" s="12">
        <v>1</v>
      </c>
      <c r="AC217" s="12">
        <v>1</v>
      </c>
      <c r="AD217" s="15">
        <f t="shared" si="2"/>
        <v>8</v>
      </c>
      <c r="AE217" s="15">
        <f t="shared" si="3"/>
        <v>100</v>
      </c>
      <c r="AF217" s="14">
        <v>5</v>
      </c>
      <c r="AG217" s="14">
        <v>5</v>
      </c>
      <c r="AH217" s="14">
        <v>5</v>
      </c>
      <c r="AI217" s="14">
        <v>5</v>
      </c>
      <c r="AJ217" s="14">
        <v>5</v>
      </c>
      <c r="AK217" s="14">
        <v>5</v>
      </c>
      <c r="AL217" s="14">
        <v>5</v>
      </c>
      <c r="AM217" s="14">
        <v>5</v>
      </c>
      <c r="AN217" s="14">
        <v>5</v>
      </c>
      <c r="AO217" s="17">
        <f t="shared" si="4"/>
        <v>45</v>
      </c>
      <c r="AP217" s="17">
        <f t="shared" si="5"/>
        <v>100</v>
      </c>
      <c r="AQ217" s="16">
        <v>5</v>
      </c>
      <c r="AR217" s="16">
        <v>5</v>
      </c>
      <c r="AS217" s="16">
        <v>5</v>
      </c>
      <c r="AT217" s="16">
        <v>5</v>
      </c>
      <c r="AU217" s="16">
        <v>5</v>
      </c>
      <c r="AV217" s="16">
        <v>5</v>
      </c>
      <c r="AW217" s="16">
        <v>5</v>
      </c>
      <c r="AX217" s="16">
        <v>5</v>
      </c>
      <c r="AY217" s="16">
        <v>5</v>
      </c>
      <c r="AZ217" s="16">
        <v>5</v>
      </c>
      <c r="BA217" s="18">
        <f t="shared" si="6"/>
        <v>50</v>
      </c>
      <c r="BB217" s="18">
        <f t="shared" si="7"/>
        <v>100</v>
      </c>
    </row>
    <row r="218" spans="1:54" ht="22.5" customHeight="1" x14ac:dyDescent="0.2">
      <c r="A218" s="9" t="s">
        <v>93</v>
      </c>
      <c r="B218" s="9" t="s">
        <v>54</v>
      </c>
      <c r="C218" s="9" t="s">
        <v>55</v>
      </c>
      <c r="D218" s="1" t="s">
        <v>100</v>
      </c>
      <c r="E218" s="9" t="s">
        <v>92</v>
      </c>
      <c r="F218" s="9" t="s">
        <v>92</v>
      </c>
      <c r="G218" s="9" t="s">
        <v>61</v>
      </c>
      <c r="H218" s="9" t="s">
        <v>57</v>
      </c>
      <c r="I218" s="9" t="s">
        <v>81</v>
      </c>
      <c r="J218" s="11">
        <v>1</v>
      </c>
      <c r="K218" s="11">
        <v>1</v>
      </c>
      <c r="L218" s="11">
        <v>0</v>
      </c>
      <c r="M218" s="11">
        <v>1</v>
      </c>
      <c r="N218" s="11">
        <v>0.5</v>
      </c>
      <c r="O218" s="11">
        <v>1</v>
      </c>
      <c r="P218" s="11">
        <v>2</v>
      </c>
      <c r="Q218" s="11">
        <v>1</v>
      </c>
      <c r="R218" s="11">
        <v>2</v>
      </c>
      <c r="S218" s="11">
        <v>2</v>
      </c>
      <c r="T218" s="13">
        <f t="shared" si="0"/>
        <v>11.5</v>
      </c>
      <c r="U218" s="13">
        <f t="shared" si="1"/>
        <v>63.888888888888886</v>
      </c>
      <c r="V218" s="12">
        <v>1</v>
      </c>
      <c r="W218" s="12">
        <v>1</v>
      </c>
      <c r="X218" s="12">
        <v>1</v>
      </c>
      <c r="Y218" s="12">
        <v>1</v>
      </c>
      <c r="Z218" s="12">
        <v>0</v>
      </c>
      <c r="AA218" s="12">
        <v>0</v>
      </c>
      <c r="AB218" s="12">
        <v>0</v>
      </c>
      <c r="AC218" s="12">
        <v>0</v>
      </c>
      <c r="AD218" s="15">
        <f t="shared" si="2"/>
        <v>4</v>
      </c>
      <c r="AE218" s="15">
        <f t="shared" si="3"/>
        <v>50</v>
      </c>
      <c r="AF218" s="14">
        <v>5</v>
      </c>
      <c r="AG218" s="14">
        <v>5</v>
      </c>
      <c r="AH218" s="14">
        <v>5</v>
      </c>
      <c r="AI218" s="14">
        <v>5</v>
      </c>
      <c r="AJ218" s="14">
        <v>5</v>
      </c>
      <c r="AK218" s="14">
        <v>5</v>
      </c>
      <c r="AL218" s="14">
        <v>5</v>
      </c>
      <c r="AM218" s="14">
        <v>5</v>
      </c>
      <c r="AN218" s="14">
        <v>5</v>
      </c>
      <c r="AO218" s="17">
        <f t="shared" si="4"/>
        <v>45</v>
      </c>
      <c r="AP218" s="17">
        <f t="shared" si="5"/>
        <v>100</v>
      </c>
      <c r="AQ218" s="16">
        <v>5</v>
      </c>
      <c r="AR218" s="16">
        <v>5</v>
      </c>
      <c r="AS218" s="16">
        <v>5</v>
      </c>
      <c r="AT218" s="16">
        <v>5</v>
      </c>
      <c r="AU218" s="16">
        <v>5</v>
      </c>
      <c r="AV218" s="16">
        <v>5</v>
      </c>
      <c r="AW218" s="16">
        <v>5</v>
      </c>
      <c r="AX218" s="16">
        <v>5</v>
      </c>
      <c r="AY218" s="16">
        <v>5</v>
      </c>
      <c r="AZ218" s="16">
        <v>5</v>
      </c>
      <c r="BA218" s="18">
        <f t="shared" si="6"/>
        <v>50</v>
      </c>
      <c r="BB218" s="18">
        <f t="shared" si="7"/>
        <v>100</v>
      </c>
    </row>
    <row r="219" spans="1:54" ht="22.5" customHeight="1" x14ac:dyDescent="0.2">
      <c r="A219" s="9" t="s">
        <v>93</v>
      </c>
      <c r="B219" s="9" t="s">
        <v>54</v>
      </c>
      <c r="C219" s="9" t="s">
        <v>55</v>
      </c>
      <c r="D219" s="1" t="s">
        <v>57</v>
      </c>
      <c r="E219" s="9" t="s">
        <v>92</v>
      </c>
      <c r="F219" s="9" t="s">
        <v>92</v>
      </c>
      <c r="G219" s="9" t="s">
        <v>61</v>
      </c>
      <c r="H219" s="9" t="s">
        <v>57</v>
      </c>
      <c r="I219" s="9" t="s">
        <v>81</v>
      </c>
      <c r="J219" s="11">
        <v>1</v>
      </c>
      <c r="K219" s="11">
        <v>1</v>
      </c>
      <c r="L219" s="11">
        <v>0</v>
      </c>
      <c r="M219" s="11">
        <v>1</v>
      </c>
      <c r="N219" s="11">
        <v>0.5</v>
      </c>
      <c r="O219" s="11">
        <v>1</v>
      </c>
      <c r="P219" s="11">
        <v>2</v>
      </c>
      <c r="Q219" s="11">
        <v>1</v>
      </c>
      <c r="R219" s="11">
        <v>2</v>
      </c>
      <c r="S219" s="11">
        <v>2</v>
      </c>
      <c r="T219" s="13">
        <f t="shared" si="0"/>
        <v>11.5</v>
      </c>
      <c r="U219" s="13">
        <f t="shared" si="1"/>
        <v>63.888888888888886</v>
      </c>
      <c r="V219" s="12">
        <v>1</v>
      </c>
      <c r="W219" s="12">
        <v>1</v>
      </c>
      <c r="X219" s="12">
        <v>1</v>
      </c>
      <c r="Y219" s="12">
        <v>1</v>
      </c>
      <c r="Z219" s="12">
        <v>1</v>
      </c>
      <c r="AA219" s="12">
        <v>1</v>
      </c>
      <c r="AB219" s="12">
        <v>1</v>
      </c>
      <c r="AC219" s="12">
        <v>1</v>
      </c>
      <c r="AD219" s="15">
        <f t="shared" si="2"/>
        <v>8</v>
      </c>
      <c r="AE219" s="15">
        <f t="shared" si="3"/>
        <v>100</v>
      </c>
      <c r="AF219" s="14">
        <v>5</v>
      </c>
      <c r="AG219" s="14">
        <v>5</v>
      </c>
      <c r="AH219" s="14">
        <v>5</v>
      </c>
      <c r="AI219" s="14">
        <v>5</v>
      </c>
      <c r="AJ219" s="14">
        <v>5</v>
      </c>
      <c r="AK219" s="14">
        <v>5</v>
      </c>
      <c r="AL219" s="14">
        <v>5</v>
      </c>
      <c r="AM219" s="14">
        <v>5</v>
      </c>
      <c r="AN219" s="14">
        <v>5</v>
      </c>
      <c r="AO219" s="17">
        <f t="shared" si="4"/>
        <v>45</v>
      </c>
      <c r="AP219" s="17">
        <f t="shared" si="5"/>
        <v>100</v>
      </c>
      <c r="AQ219" s="16">
        <v>5</v>
      </c>
      <c r="AR219" s="16">
        <v>5</v>
      </c>
      <c r="AS219" s="16">
        <v>5</v>
      </c>
      <c r="AT219" s="16">
        <v>5</v>
      </c>
      <c r="AU219" s="16">
        <v>5</v>
      </c>
      <c r="AV219" s="16">
        <v>5</v>
      </c>
      <c r="AW219" s="16">
        <v>5</v>
      </c>
      <c r="AX219" s="16">
        <v>5</v>
      </c>
      <c r="AY219" s="16">
        <v>5</v>
      </c>
      <c r="AZ219" s="16">
        <v>5</v>
      </c>
      <c r="BA219" s="18">
        <f t="shared" si="6"/>
        <v>50</v>
      </c>
      <c r="BB219" s="18">
        <f t="shared" si="7"/>
        <v>100</v>
      </c>
    </row>
    <row r="220" spans="1:54" ht="22.5" customHeight="1" x14ac:dyDescent="0.2">
      <c r="A220" s="9" t="s">
        <v>93</v>
      </c>
      <c r="B220" s="9" t="s">
        <v>54</v>
      </c>
      <c r="C220" s="9" t="s">
        <v>69</v>
      </c>
      <c r="D220" s="1" t="s">
        <v>100</v>
      </c>
      <c r="E220" s="9" t="s">
        <v>85</v>
      </c>
      <c r="F220" s="9" t="s">
        <v>85</v>
      </c>
      <c r="G220" s="9" t="s">
        <v>76</v>
      </c>
      <c r="H220" s="9" t="s">
        <v>57</v>
      </c>
      <c r="I220" s="9" t="s">
        <v>72</v>
      </c>
      <c r="J220" s="11">
        <v>1</v>
      </c>
      <c r="K220" s="11">
        <v>1</v>
      </c>
      <c r="L220" s="11">
        <v>0</v>
      </c>
      <c r="M220" s="11">
        <v>1</v>
      </c>
      <c r="N220" s="11">
        <v>0.5</v>
      </c>
      <c r="O220" s="11">
        <v>1</v>
      </c>
      <c r="P220" s="11">
        <v>2</v>
      </c>
      <c r="Q220" s="11">
        <v>1</v>
      </c>
      <c r="R220" s="11">
        <v>2</v>
      </c>
      <c r="S220" s="11">
        <v>2</v>
      </c>
      <c r="T220" s="13">
        <f t="shared" si="0"/>
        <v>11.5</v>
      </c>
      <c r="U220" s="13">
        <f t="shared" si="1"/>
        <v>63.888888888888886</v>
      </c>
      <c r="V220" s="12">
        <v>1</v>
      </c>
      <c r="W220" s="12">
        <v>1</v>
      </c>
      <c r="X220" s="12">
        <v>1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5">
        <f t="shared" si="2"/>
        <v>3</v>
      </c>
      <c r="AE220" s="15">
        <f t="shared" si="3"/>
        <v>37.5</v>
      </c>
      <c r="AF220" s="14">
        <v>5</v>
      </c>
      <c r="AG220" s="14">
        <v>5</v>
      </c>
      <c r="AH220" s="14">
        <v>5</v>
      </c>
      <c r="AI220" s="14">
        <v>5</v>
      </c>
      <c r="AJ220" s="14">
        <v>5</v>
      </c>
      <c r="AK220" s="14">
        <v>4</v>
      </c>
      <c r="AL220" s="14">
        <v>5</v>
      </c>
      <c r="AM220" s="14">
        <v>5</v>
      </c>
      <c r="AN220" s="14">
        <v>5</v>
      </c>
      <c r="AO220" s="17">
        <f t="shared" si="4"/>
        <v>44</v>
      </c>
      <c r="AP220" s="17">
        <f t="shared" si="5"/>
        <v>97.777777777777771</v>
      </c>
      <c r="AQ220" s="16">
        <v>5</v>
      </c>
      <c r="AR220" s="16">
        <v>5</v>
      </c>
      <c r="AS220" s="16">
        <v>5</v>
      </c>
      <c r="AT220" s="16">
        <v>5</v>
      </c>
      <c r="AU220" s="16">
        <v>5</v>
      </c>
      <c r="AV220" s="16">
        <v>5</v>
      </c>
      <c r="AW220" s="16">
        <v>3</v>
      </c>
      <c r="AX220" s="16">
        <v>4</v>
      </c>
      <c r="AY220" s="16">
        <v>5</v>
      </c>
      <c r="AZ220" s="16">
        <v>3</v>
      </c>
      <c r="BA220" s="18">
        <f t="shared" si="6"/>
        <v>45</v>
      </c>
      <c r="BB220" s="18">
        <f t="shared" si="7"/>
        <v>90</v>
      </c>
    </row>
    <row r="221" spans="1:54" ht="22.5" customHeight="1" x14ac:dyDescent="0.2">
      <c r="A221" s="9" t="s">
        <v>67</v>
      </c>
      <c r="B221" s="9" t="s">
        <v>54</v>
      </c>
      <c r="C221" s="9" t="s">
        <v>55</v>
      </c>
      <c r="D221" s="1" t="s">
        <v>100</v>
      </c>
      <c r="E221" s="9" t="s">
        <v>92</v>
      </c>
      <c r="F221" s="9" t="s">
        <v>92</v>
      </c>
      <c r="G221" s="9" t="s">
        <v>61</v>
      </c>
      <c r="H221" s="9" t="s">
        <v>57</v>
      </c>
      <c r="I221" s="9" t="s">
        <v>81</v>
      </c>
      <c r="J221" s="11">
        <v>1</v>
      </c>
      <c r="K221" s="11">
        <v>1</v>
      </c>
      <c r="L221" s="11">
        <v>0</v>
      </c>
      <c r="M221" s="11">
        <v>1</v>
      </c>
      <c r="N221" s="11">
        <v>0.5</v>
      </c>
      <c r="O221" s="11">
        <v>1</v>
      </c>
      <c r="P221" s="11">
        <v>2</v>
      </c>
      <c r="Q221" s="11">
        <v>1</v>
      </c>
      <c r="R221" s="11">
        <v>2</v>
      </c>
      <c r="S221" s="11">
        <v>2</v>
      </c>
      <c r="T221" s="13">
        <f t="shared" si="0"/>
        <v>11.5</v>
      </c>
      <c r="U221" s="13">
        <f t="shared" si="1"/>
        <v>63.888888888888886</v>
      </c>
      <c r="V221" s="12">
        <v>1</v>
      </c>
      <c r="W221" s="12">
        <v>1</v>
      </c>
      <c r="X221" s="12">
        <v>1</v>
      </c>
      <c r="Y221" s="12">
        <v>1</v>
      </c>
      <c r="Z221" s="12">
        <v>1</v>
      </c>
      <c r="AA221" s="12">
        <v>1</v>
      </c>
      <c r="AB221" s="12">
        <v>1</v>
      </c>
      <c r="AC221" s="12">
        <v>1</v>
      </c>
      <c r="AD221" s="15">
        <f t="shared" si="2"/>
        <v>8</v>
      </c>
      <c r="AE221" s="15">
        <f t="shared" si="3"/>
        <v>100</v>
      </c>
      <c r="AF221" s="14">
        <v>5</v>
      </c>
      <c r="AG221" s="14">
        <v>5</v>
      </c>
      <c r="AH221" s="14">
        <v>5</v>
      </c>
      <c r="AI221" s="14">
        <v>5</v>
      </c>
      <c r="AJ221" s="14">
        <v>5</v>
      </c>
      <c r="AK221" s="14">
        <v>5</v>
      </c>
      <c r="AL221" s="14">
        <v>5</v>
      </c>
      <c r="AM221" s="14">
        <v>5</v>
      </c>
      <c r="AN221" s="14">
        <v>5</v>
      </c>
      <c r="AO221" s="17">
        <f t="shared" si="4"/>
        <v>45</v>
      </c>
      <c r="AP221" s="17">
        <f t="shared" si="5"/>
        <v>100</v>
      </c>
      <c r="AQ221" s="16">
        <v>5</v>
      </c>
      <c r="AR221" s="16">
        <v>5</v>
      </c>
      <c r="AS221" s="16">
        <v>5</v>
      </c>
      <c r="AT221" s="16">
        <v>5</v>
      </c>
      <c r="AU221" s="16">
        <v>5</v>
      </c>
      <c r="AV221" s="16">
        <v>5</v>
      </c>
      <c r="AW221" s="16">
        <v>5</v>
      </c>
      <c r="AX221" s="16">
        <v>5</v>
      </c>
      <c r="AY221" s="16">
        <v>5</v>
      </c>
      <c r="AZ221" s="16">
        <v>5</v>
      </c>
      <c r="BA221" s="18">
        <f t="shared" si="6"/>
        <v>50</v>
      </c>
      <c r="BB221" s="18">
        <f t="shared" si="7"/>
        <v>100</v>
      </c>
    </row>
    <row r="222" spans="1:54" ht="22.5" customHeight="1" x14ac:dyDescent="0.2">
      <c r="A222" s="9" t="s">
        <v>74</v>
      </c>
      <c r="B222" s="9" t="s">
        <v>68</v>
      </c>
      <c r="C222" s="9" t="s">
        <v>69</v>
      </c>
      <c r="D222" s="1" t="s">
        <v>57</v>
      </c>
      <c r="E222" s="9" t="s">
        <v>85</v>
      </c>
      <c r="F222" s="9" t="s">
        <v>60</v>
      </c>
      <c r="G222" s="9" t="s">
        <v>61</v>
      </c>
      <c r="H222" s="9" t="s">
        <v>99</v>
      </c>
      <c r="I222" s="9" t="s">
        <v>62</v>
      </c>
      <c r="J222" s="11">
        <v>1</v>
      </c>
      <c r="K222" s="11">
        <v>1</v>
      </c>
      <c r="L222" s="11">
        <v>1</v>
      </c>
      <c r="M222" s="11">
        <v>1</v>
      </c>
      <c r="N222" s="11">
        <v>1</v>
      </c>
      <c r="O222" s="11">
        <v>1</v>
      </c>
      <c r="P222" s="11">
        <v>1.5</v>
      </c>
      <c r="Q222" s="11">
        <v>1</v>
      </c>
      <c r="R222" s="11">
        <v>1</v>
      </c>
      <c r="S222" s="11">
        <v>2</v>
      </c>
      <c r="T222" s="13">
        <f t="shared" si="0"/>
        <v>11.5</v>
      </c>
      <c r="U222" s="13">
        <f t="shared" si="1"/>
        <v>63.888888888888886</v>
      </c>
      <c r="V222" s="12">
        <v>1</v>
      </c>
      <c r="W222" s="12">
        <v>1</v>
      </c>
      <c r="X222" s="12">
        <v>1</v>
      </c>
      <c r="Y222" s="12">
        <v>1</v>
      </c>
      <c r="Z222" s="12">
        <v>1</v>
      </c>
      <c r="AA222" s="12">
        <v>1</v>
      </c>
      <c r="AB222" s="12">
        <v>1</v>
      </c>
      <c r="AC222" s="12">
        <v>1</v>
      </c>
      <c r="AD222" s="15">
        <f t="shared" si="2"/>
        <v>8</v>
      </c>
      <c r="AE222" s="15">
        <f t="shared" si="3"/>
        <v>100</v>
      </c>
      <c r="AF222" s="14">
        <v>5</v>
      </c>
      <c r="AG222" s="14">
        <v>4</v>
      </c>
      <c r="AH222" s="14">
        <v>4</v>
      </c>
      <c r="AI222" s="14">
        <v>5</v>
      </c>
      <c r="AJ222" s="14">
        <v>5</v>
      </c>
      <c r="AK222" s="14">
        <v>4</v>
      </c>
      <c r="AL222" s="14">
        <v>5</v>
      </c>
      <c r="AM222" s="14">
        <v>4</v>
      </c>
      <c r="AN222" s="14">
        <v>5</v>
      </c>
      <c r="AO222" s="17">
        <f t="shared" si="4"/>
        <v>41</v>
      </c>
      <c r="AP222" s="17">
        <f t="shared" si="5"/>
        <v>91.111111111111114</v>
      </c>
      <c r="AQ222" s="16">
        <v>5</v>
      </c>
      <c r="AR222" s="16">
        <v>4</v>
      </c>
      <c r="AS222" s="16">
        <v>4</v>
      </c>
      <c r="AT222" s="16">
        <v>5</v>
      </c>
      <c r="AU222" s="16">
        <v>5</v>
      </c>
      <c r="AV222" s="16">
        <v>3</v>
      </c>
      <c r="AW222" s="16">
        <v>4</v>
      </c>
      <c r="AX222" s="16">
        <v>4</v>
      </c>
      <c r="AY222" s="16">
        <v>5</v>
      </c>
      <c r="AZ222" s="16">
        <v>4</v>
      </c>
      <c r="BA222" s="18">
        <f t="shared" si="6"/>
        <v>43</v>
      </c>
      <c r="BB222" s="18">
        <f t="shared" si="7"/>
        <v>86</v>
      </c>
    </row>
    <row r="223" spans="1:54" ht="22.5" customHeight="1" x14ac:dyDescent="0.2">
      <c r="A223" s="9" t="s">
        <v>52</v>
      </c>
      <c r="B223" s="9" t="s">
        <v>68</v>
      </c>
      <c r="C223" s="9" t="s">
        <v>69</v>
      </c>
      <c r="D223" s="1" t="s">
        <v>57</v>
      </c>
      <c r="E223" s="9" t="s">
        <v>60</v>
      </c>
      <c r="F223" s="9" t="s">
        <v>71</v>
      </c>
      <c r="G223" s="9" t="s">
        <v>95</v>
      </c>
      <c r="H223" s="9" t="s">
        <v>86</v>
      </c>
      <c r="I223" s="9" t="s">
        <v>81</v>
      </c>
      <c r="J223" s="11">
        <v>1</v>
      </c>
      <c r="K223" s="11">
        <v>1</v>
      </c>
      <c r="L223" s="11">
        <v>2</v>
      </c>
      <c r="M223" s="11">
        <v>1</v>
      </c>
      <c r="N223" s="11">
        <v>0.5</v>
      </c>
      <c r="O223" s="11">
        <v>1</v>
      </c>
      <c r="P223" s="11">
        <v>1.5</v>
      </c>
      <c r="Q223" s="11">
        <v>1</v>
      </c>
      <c r="R223" s="11">
        <v>1.5</v>
      </c>
      <c r="S223" s="11">
        <v>2</v>
      </c>
      <c r="T223" s="13">
        <f t="shared" si="0"/>
        <v>12.5</v>
      </c>
      <c r="U223" s="13">
        <f t="shared" si="1"/>
        <v>69.444444444444443</v>
      </c>
      <c r="V223" s="12">
        <v>1</v>
      </c>
      <c r="W223" s="12">
        <v>1</v>
      </c>
      <c r="X223" s="12">
        <v>1</v>
      </c>
      <c r="Y223" s="12">
        <v>1</v>
      </c>
      <c r="Z223" s="12">
        <v>1</v>
      </c>
      <c r="AA223" s="12">
        <v>1</v>
      </c>
      <c r="AB223" s="12">
        <v>1</v>
      </c>
      <c r="AC223" s="12">
        <v>1</v>
      </c>
      <c r="AD223" s="15">
        <f t="shared" si="2"/>
        <v>8</v>
      </c>
      <c r="AE223" s="15">
        <f t="shared" si="3"/>
        <v>100</v>
      </c>
      <c r="AF223" s="14">
        <v>4</v>
      </c>
      <c r="AG223" s="14">
        <v>4</v>
      </c>
      <c r="AH223" s="14">
        <v>5</v>
      </c>
      <c r="AI223" s="14">
        <v>4</v>
      </c>
      <c r="AJ223" s="14">
        <v>4</v>
      </c>
      <c r="AK223" s="14">
        <v>4</v>
      </c>
      <c r="AL223" s="14">
        <v>5</v>
      </c>
      <c r="AM223" s="14">
        <v>3</v>
      </c>
      <c r="AN223" s="14">
        <v>4</v>
      </c>
      <c r="AO223" s="17">
        <f t="shared" si="4"/>
        <v>37</v>
      </c>
      <c r="AP223" s="17">
        <f t="shared" si="5"/>
        <v>82.222222222222214</v>
      </c>
      <c r="AQ223" s="16">
        <v>4</v>
      </c>
      <c r="AR223" s="16">
        <v>3</v>
      </c>
      <c r="AS223" s="16">
        <v>4</v>
      </c>
      <c r="AT223" s="16">
        <v>4</v>
      </c>
      <c r="AU223" s="16">
        <v>5</v>
      </c>
      <c r="AV223" s="16">
        <v>3</v>
      </c>
      <c r="AW223" s="16">
        <v>3</v>
      </c>
      <c r="AX223" s="16">
        <v>4</v>
      </c>
      <c r="AY223" s="16">
        <v>5</v>
      </c>
      <c r="AZ223" s="16">
        <v>4</v>
      </c>
      <c r="BA223" s="18">
        <f t="shared" si="6"/>
        <v>39</v>
      </c>
      <c r="BB223" s="18">
        <f t="shared" si="7"/>
        <v>78</v>
      </c>
    </row>
    <row r="224" spans="1:54" ht="22.5" customHeight="1" x14ac:dyDescent="0.2">
      <c r="A224" s="9" t="s">
        <v>67</v>
      </c>
      <c r="B224" s="9" t="s">
        <v>54</v>
      </c>
      <c r="C224" s="9" t="s">
        <v>69</v>
      </c>
      <c r="D224" s="1" t="s">
        <v>57</v>
      </c>
      <c r="E224" s="9" t="s">
        <v>59</v>
      </c>
      <c r="F224" s="9" t="s">
        <v>59</v>
      </c>
      <c r="G224" s="9" t="s">
        <v>76</v>
      </c>
      <c r="H224" s="9" t="s">
        <v>101</v>
      </c>
      <c r="I224" s="9" t="s">
        <v>96</v>
      </c>
      <c r="J224" s="11">
        <v>1</v>
      </c>
      <c r="K224" s="11">
        <v>1</v>
      </c>
      <c r="L224" s="11">
        <v>1</v>
      </c>
      <c r="M224" s="11">
        <v>2</v>
      </c>
      <c r="N224" s="11">
        <v>2</v>
      </c>
      <c r="O224" s="11">
        <v>1</v>
      </c>
      <c r="P224" s="11">
        <v>1</v>
      </c>
      <c r="Q224" s="11">
        <v>1</v>
      </c>
      <c r="R224" s="11">
        <v>1.5</v>
      </c>
      <c r="S224" s="11">
        <v>1.5</v>
      </c>
      <c r="T224" s="13">
        <f t="shared" si="0"/>
        <v>13</v>
      </c>
      <c r="U224" s="13">
        <f t="shared" si="1"/>
        <v>72.222222222222214</v>
      </c>
      <c r="V224" s="12">
        <v>1</v>
      </c>
      <c r="W224" s="12">
        <v>1</v>
      </c>
      <c r="X224" s="12">
        <v>1</v>
      </c>
      <c r="Y224" s="12">
        <v>1</v>
      </c>
      <c r="Z224" s="12">
        <v>1</v>
      </c>
      <c r="AA224" s="12">
        <v>0</v>
      </c>
      <c r="AB224" s="12">
        <v>1</v>
      </c>
      <c r="AC224" s="12">
        <v>1</v>
      </c>
      <c r="AD224" s="15">
        <f t="shared" si="2"/>
        <v>7</v>
      </c>
      <c r="AE224" s="15">
        <f t="shared" si="3"/>
        <v>87.5</v>
      </c>
      <c r="AF224" s="14">
        <v>4</v>
      </c>
      <c r="AG224" s="14">
        <v>5</v>
      </c>
      <c r="AH224" s="14">
        <v>4</v>
      </c>
      <c r="AI224" s="14">
        <v>4</v>
      </c>
      <c r="AJ224" s="14">
        <v>5</v>
      </c>
      <c r="AK224" s="14">
        <v>4</v>
      </c>
      <c r="AL224" s="14">
        <v>4</v>
      </c>
      <c r="AM224" s="14">
        <v>5</v>
      </c>
      <c r="AN224" s="14">
        <v>4</v>
      </c>
      <c r="AO224" s="17">
        <f t="shared" si="4"/>
        <v>39</v>
      </c>
      <c r="AP224" s="17">
        <f t="shared" si="5"/>
        <v>86.666666666666671</v>
      </c>
      <c r="AQ224" s="16">
        <v>4</v>
      </c>
      <c r="AR224" s="16">
        <v>3</v>
      </c>
      <c r="AS224" s="16">
        <v>5</v>
      </c>
      <c r="AT224" s="16">
        <v>4</v>
      </c>
      <c r="AU224" s="16">
        <v>5</v>
      </c>
      <c r="AV224" s="16">
        <v>4</v>
      </c>
      <c r="AW224" s="16">
        <v>4</v>
      </c>
      <c r="AX224" s="16">
        <v>3</v>
      </c>
      <c r="AY224" s="16">
        <v>5</v>
      </c>
      <c r="AZ224" s="16">
        <v>4</v>
      </c>
      <c r="BA224" s="18">
        <f t="shared" si="6"/>
        <v>41</v>
      </c>
      <c r="BB224" s="18">
        <f t="shared" si="7"/>
        <v>82</v>
      </c>
    </row>
    <row r="225" spans="1:54" ht="22.5" customHeight="1" x14ac:dyDescent="0.2">
      <c r="A225" s="9" t="s">
        <v>74</v>
      </c>
      <c r="B225" s="9" t="s">
        <v>68</v>
      </c>
      <c r="C225" s="9" t="s">
        <v>55</v>
      </c>
      <c r="D225" s="1" t="s">
        <v>57</v>
      </c>
      <c r="E225" s="9" t="s">
        <v>60</v>
      </c>
      <c r="F225" s="9" t="s">
        <v>71</v>
      </c>
      <c r="G225" s="9" t="s">
        <v>86</v>
      </c>
      <c r="H225" s="9" t="s">
        <v>57</v>
      </c>
      <c r="I225" s="9" t="s">
        <v>62</v>
      </c>
      <c r="J225" s="11">
        <v>1</v>
      </c>
      <c r="K225" s="11">
        <v>1</v>
      </c>
      <c r="L225" s="11">
        <v>2</v>
      </c>
      <c r="M225" s="11">
        <v>0.5</v>
      </c>
      <c r="N225" s="11">
        <v>1.5</v>
      </c>
      <c r="O225" s="11">
        <v>1</v>
      </c>
      <c r="P225" s="11">
        <v>1.5</v>
      </c>
      <c r="Q225" s="11">
        <v>1</v>
      </c>
      <c r="R225" s="11">
        <v>1.5</v>
      </c>
      <c r="S225" s="11">
        <v>1</v>
      </c>
      <c r="T225" s="13">
        <f t="shared" si="0"/>
        <v>12</v>
      </c>
      <c r="U225" s="13">
        <f t="shared" si="1"/>
        <v>66.666666666666657</v>
      </c>
      <c r="V225" s="12">
        <v>1</v>
      </c>
      <c r="W225" s="12">
        <v>1</v>
      </c>
      <c r="X225" s="12">
        <v>1</v>
      </c>
      <c r="Y225" s="12">
        <v>1</v>
      </c>
      <c r="Z225" s="12">
        <v>1</v>
      </c>
      <c r="AA225" s="12">
        <v>1</v>
      </c>
      <c r="AB225" s="12">
        <v>1</v>
      </c>
      <c r="AC225" s="12">
        <v>1</v>
      </c>
      <c r="AD225" s="15">
        <f t="shared" si="2"/>
        <v>8</v>
      </c>
      <c r="AE225" s="15">
        <f t="shared" si="3"/>
        <v>100</v>
      </c>
      <c r="AF225" s="14">
        <v>3</v>
      </c>
      <c r="AG225" s="14">
        <v>4</v>
      </c>
      <c r="AH225" s="14">
        <v>5</v>
      </c>
      <c r="AI225" s="14">
        <v>4</v>
      </c>
      <c r="AJ225" s="14">
        <v>4</v>
      </c>
      <c r="AK225" s="14">
        <v>5</v>
      </c>
      <c r="AL225" s="14">
        <v>4</v>
      </c>
      <c r="AM225" s="14">
        <v>4</v>
      </c>
      <c r="AN225" s="14">
        <v>5</v>
      </c>
      <c r="AO225" s="17">
        <f t="shared" si="4"/>
        <v>38</v>
      </c>
      <c r="AP225" s="17">
        <f t="shared" si="5"/>
        <v>84.444444444444443</v>
      </c>
      <c r="AQ225" s="16">
        <v>4</v>
      </c>
      <c r="AR225" s="16">
        <v>3</v>
      </c>
      <c r="AS225" s="16">
        <v>4</v>
      </c>
      <c r="AT225" s="16">
        <v>4</v>
      </c>
      <c r="AU225" s="16">
        <v>5</v>
      </c>
      <c r="AV225" s="16">
        <v>4</v>
      </c>
      <c r="AW225" s="16">
        <v>3</v>
      </c>
      <c r="AX225" s="16">
        <v>4</v>
      </c>
      <c r="AY225" s="16">
        <v>5</v>
      </c>
      <c r="AZ225" s="16">
        <v>3</v>
      </c>
      <c r="BA225" s="18">
        <f t="shared" si="6"/>
        <v>39</v>
      </c>
      <c r="BB225" s="18">
        <f t="shared" si="7"/>
        <v>78</v>
      </c>
    </row>
    <row r="226" spans="1:54" ht="22.5" customHeight="1" x14ac:dyDescent="0.2">
      <c r="A226" s="9" t="s">
        <v>74</v>
      </c>
      <c r="B226" s="9" t="s">
        <v>68</v>
      </c>
      <c r="C226" s="9" t="s">
        <v>69</v>
      </c>
      <c r="D226" s="1" t="s">
        <v>57</v>
      </c>
      <c r="E226" s="9" t="s">
        <v>60</v>
      </c>
      <c r="F226" s="9" t="s">
        <v>71</v>
      </c>
      <c r="G226" s="9" t="s">
        <v>95</v>
      </c>
      <c r="H226" s="9" t="s">
        <v>57</v>
      </c>
      <c r="I226" s="9" t="s">
        <v>72</v>
      </c>
      <c r="J226" s="11">
        <v>1</v>
      </c>
      <c r="K226" s="11">
        <v>1</v>
      </c>
      <c r="L226" s="11">
        <v>1</v>
      </c>
      <c r="M226" s="11">
        <v>0.5</v>
      </c>
      <c r="N226" s="11">
        <v>1</v>
      </c>
      <c r="O226" s="11">
        <v>1</v>
      </c>
      <c r="P226" s="11">
        <v>1.5</v>
      </c>
      <c r="Q226" s="11">
        <v>1</v>
      </c>
      <c r="R226" s="11">
        <v>1.5</v>
      </c>
      <c r="S226" s="11">
        <v>1</v>
      </c>
      <c r="T226" s="13">
        <f t="shared" si="0"/>
        <v>10.5</v>
      </c>
      <c r="U226" s="13">
        <f t="shared" si="1"/>
        <v>58.333333333333336</v>
      </c>
      <c r="V226" s="12">
        <v>1</v>
      </c>
      <c r="W226" s="12">
        <v>1</v>
      </c>
      <c r="X226" s="12">
        <v>1</v>
      </c>
      <c r="Y226" s="12">
        <v>1</v>
      </c>
      <c r="Z226" s="12">
        <v>1</v>
      </c>
      <c r="AA226" s="12">
        <v>1</v>
      </c>
      <c r="AB226" s="12">
        <v>1</v>
      </c>
      <c r="AC226" s="12">
        <v>1</v>
      </c>
      <c r="AD226" s="15">
        <f t="shared" si="2"/>
        <v>8</v>
      </c>
      <c r="AE226" s="15">
        <f t="shared" si="3"/>
        <v>100</v>
      </c>
      <c r="AF226" s="14">
        <v>4</v>
      </c>
      <c r="AG226" s="14">
        <v>4</v>
      </c>
      <c r="AH226" s="14">
        <v>5</v>
      </c>
      <c r="AI226" s="14">
        <v>4</v>
      </c>
      <c r="AJ226" s="14">
        <v>4</v>
      </c>
      <c r="AK226" s="14">
        <v>4</v>
      </c>
      <c r="AL226" s="14">
        <v>4</v>
      </c>
      <c r="AM226" s="14">
        <v>4</v>
      </c>
      <c r="AN226" s="14">
        <v>4</v>
      </c>
      <c r="AO226" s="17">
        <f t="shared" si="4"/>
        <v>37</v>
      </c>
      <c r="AP226" s="17">
        <f t="shared" si="5"/>
        <v>82.222222222222214</v>
      </c>
      <c r="AQ226" s="16">
        <v>3</v>
      </c>
      <c r="AR226" s="16">
        <v>5</v>
      </c>
      <c r="AS226" s="16">
        <v>4</v>
      </c>
      <c r="AT226" s="16">
        <v>4</v>
      </c>
      <c r="AU226" s="16">
        <v>5</v>
      </c>
      <c r="AV226" s="16">
        <v>3</v>
      </c>
      <c r="AW226" s="16">
        <v>4</v>
      </c>
      <c r="AX226" s="16">
        <v>4</v>
      </c>
      <c r="AY226" s="16">
        <v>5</v>
      </c>
      <c r="AZ226" s="16">
        <v>3</v>
      </c>
      <c r="BA226" s="18">
        <f t="shared" si="6"/>
        <v>40</v>
      </c>
      <c r="BB226" s="18">
        <f t="shared" si="7"/>
        <v>80</v>
      </c>
    </row>
    <row r="227" spans="1:54" ht="22.5" customHeight="1" x14ac:dyDescent="0.2">
      <c r="A227" s="9" t="s">
        <v>52</v>
      </c>
      <c r="B227" s="9" t="s">
        <v>68</v>
      </c>
      <c r="C227" s="9" t="s">
        <v>55</v>
      </c>
      <c r="D227" s="1" t="s">
        <v>57</v>
      </c>
      <c r="E227" s="9" t="s">
        <v>71</v>
      </c>
      <c r="F227" s="9" t="s">
        <v>59</v>
      </c>
      <c r="G227" s="9" t="s">
        <v>76</v>
      </c>
      <c r="H227" s="9" t="s">
        <v>57</v>
      </c>
      <c r="I227" s="9" t="s">
        <v>96</v>
      </c>
      <c r="J227" s="11">
        <v>1</v>
      </c>
      <c r="K227" s="11">
        <v>1</v>
      </c>
      <c r="L227" s="11">
        <v>2</v>
      </c>
      <c r="M227" s="11">
        <v>2</v>
      </c>
      <c r="N227" s="11">
        <v>1.5</v>
      </c>
      <c r="O227" s="11">
        <v>1</v>
      </c>
      <c r="P227" s="11">
        <v>2</v>
      </c>
      <c r="Q227" s="11">
        <v>1</v>
      </c>
      <c r="R227" s="11">
        <v>1.5</v>
      </c>
      <c r="S227" s="11">
        <v>1</v>
      </c>
      <c r="T227" s="13">
        <f t="shared" si="0"/>
        <v>14</v>
      </c>
      <c r="U227" s="13">
        <f t="shared" si="1"/>
        <v>77.777777777777786</v>
      </c>
      <c r="V227" s="12">
        <v>1</v>
      </c>
      <c r="W227" s="12">
        <v>1</v>
      </c>
      <c r="X227" s="12">
        <v>1</v>
      </c>
      <c r="Y227" s="12">
        <v>1</v>
      </c>
      <c r="Z227" s="12">
        <v>1</v>
      </c>
      <c r="AA227" s="12">
        <v>1</v>
      </c>
      <c r="AB227" s="12">
        <v>1</v>
      </c>
      <c r="AC227" s="12">
        <v>1</v>
      </c>
      <c r="AD227" s="15">
        <f t="shared" si="2"/>
        <v>8</v>
      </c>
      <c r="AE227" s="15">
        <f t="shared" si="3"/>
        <v>100</v>
      </c>
      <c r="AF227" s="14">
        <v>4</v>
      </c>
      <c r="AG227" s="14">
        <v>4</v>
      </c>
      <c r="AH227" s="14">
        <v>5</v>
      </c>
      <c r="AI227" s="14">
        <v>4</v>
      </c>
      <c r="AJ227" s="14">
        <v>4</v>
      </c>
      <c r="AK227" s="14">
        <v>4</v>
      </c>
      <c r="AL227" s="14">
        <v>4</v>
      </c>
      <c r="AM227" s="14">
        <v>4</v>
      </c>
      <c r="AN227" s="14">
        <v>5</v>
      </c>
      <c r="AO227" s="17">
        <f t="shared" si="4"/>
        <v>38</v>
      </c>
      <c r="AP227" s="17">
        <f t="shared" si="5"/>
        <v>84.444444444444443</v>
      </c>
      <c r="AQ227" s="16">
        <v>4</v>
      </c>
      <c r="AR227" s="16">
        <v>3</v>
      </c>
      <c r="AS227" s="16">
        <v>5</v>
      </c>
      <c r="AT227" s="16">
        <v>3</v>
      </c>
      <c r="AU227" s="16">
        <v>5</v>
      </c>
      <c r="AV227" s="16">
        <v>4</v>
      </c>
      <c r="AW227" s="16">
        <v>4</v>
      </c>
      <c r="AX227" s="16">
        <v>3</v>
      </c>
      <c r="AY227" s="16">
        <v>5</v>
      </c>
      <c r="AZ227" s="16">
        <v>3</v>
      </c>
      <c r="BA227" s="18">
        <f t="shared" si="6"/>
        <v>39</v>
      </c>
      <c r="BB227" s="18">
        <f t="shared" si="7"/>
        <v>78</v>
      </c>
    </row>
    <row r="228" spans="1:54" ht="22.5" customHeight="1" x14ac:dyDescent="0.2">
      <c r="A228" s="9" t="s">
        <v>67</v>
      </c>
      <c r="B228" s="9" t="s">
        <v>68</v>
      </c>
      <c r="C228" s="9" t="s">
        <v>69</v>
      </c>
      <c r="D228" s="1" t="s">
        <v>57</v>
      </c>
      <c r="E228" s="9" t="s">
        <v>71</v>
      </c>
      <c r="F228" s="9" t="s">
        <v>71</v>
      </c>
      <c r="G228" s="9" t="s">
        <v>61</v>
      </c>
      <c r="H228" s="9" t="s">
        <v>57</v>
      </c>
      <c r="I228" s="9" t="s">
        <v>72</v>
      </c>
      <c r="J228" s="11">
        <v>1</v>
      </c>
      <c r="K228" s="11">
        <v>1</v>
      </c>
      <c r="L228" s="11">
        <v>1</v>
      </c>
      <c r="M228" s="11">
        <v>2</v>
      </c>
      <c r="N228" s="11">
        <v>1.5</v>
      </c>
      <c r="O228" s="11">
        <v>1</v>
      </c>
      <c r="P228" s="11">
        <v>1.5</v>
      </c>
      <c r="Q228" s="11">
        <v>1</v>
      </c>
      <c r="R228" s="11">
        <v>1.5</v>
      </c>
      <c r="S228" s="11">
        <v>1.5</v>
      </c>
      <c r="T228" s="13">
        <f t="shared" si="0"/>
        <v>13</v>
      </c>
      <c r="U228" s="13">
        <f t="shared" si="1"/>
        <v>72.222222222222214</v>
      </c>
      <c r="V228" s="12">
        <v>1</v>
      </c>
      <c r="W228" s="12">
        <v>1</v>
      </c>
      <c r="X228" s="12">
        <v>1</v>
      </c>
      <c r="Y228" s="12">
        <v>1</v>
      </c>
      <c r="Z228" s="12">
        <v>1</v>
      </c>
      <c r="AA228" s="12">
        <v>1</v>
      </c>
      <c r="AB228" s="12">
        <v>1</v>
      </c>
      <c r="AC228" s="12">
        <v>1</v>
      </c>
      <c r="AD228" s="15">
        <f t="shared" si="2"/>
        <v>8</v>
      </c>
      <c r="AE228" s="15">
        <f t="shared" si="3"/>
        <v>100</v>
      </c>
      <c r="AF228" s="14">
        <v>4</v>
      </c>
      <c r="AG228" s="14">
        <v>4</v>
      </c>
      <c r="AH228" s="14">
        <v>4</v>
      </c>
      <c r="AI228" s="14">
        <v>4</v>
      </c>
      <c r="AJ228" s="14">
        <v>4</v>
      </c>
      <c r="AK228" s="14">
        <v>4</v>
      </c>
      <c r="AL228" s="14">
        <v>5</v>
      </c>
      <c r="AM228" s="14">
        <v>4</v>
      </c>
      <c r="AN228" s="14">
        <v>4</v>
      </c>
      <c r="AO228" s="17">
        <f t="shared" si="4"/>
        <v>37</v>
      </c>
      <c r="AP228" s="17">
        <f t="shared" si="5"/>
        <v>82.222222222222214</v>
      </c>
      <c r="AQ228" s="16">
        <v>4</v>
      </c>
      <c r="AR228" s="16">
        <v>3</v>
      </c>
      <c r="AS228" s="16">
        <v>2</v>
      </c>
      <c r="AT228" s="16">
        <v>5</v>
      </c>
      <c r="AU228" s="16">
        <v>5</v>
      </c>
      <c r="AV228" s="16">
        <v>4</v>
      </c>
      <c r="AW228" s="16">
        <v>3</v>
      </c>
      <c r="AX228" s="16">
        <v>2</v>
      </c>
      <c r="AY228" s="16">
        <v>5</v>
      </c>
      <c r="AZ228" s="16">
        <v>4</v>
      </c>
      <c r="BA228" s="18">
        <f t="shared" si="6"/>
        <v>37</v>
      </c>
      <c r="BB228" s="18">
        <f t="shared" si="7"/>
        <v>74</v>
      </c>
    </row>
    <row r="229" spans="1:54" ht="22.5" customHeight="1" x14ac:dyDescent="0.2">
      <c r="A229" s="9" t="s">
        <v>74</v>
      </c>
      <c r="B229" s="9" t="s">
        <v>54</v>
      </c>
      <c r="C229" s="9" t="s">
        <v>69</v>
      </c>
      <c r="D229" s="1" t="s">
        <v>57</v>
      </c>
      <c r="E229" s="9" t="s">
        <v>60</v>
      </c>
      <c r="F229" s="9" t="s">
        <v>71</v>
      </c>
      <c r="G229" s="9" t="s">
        <v>95</v>
      </c>
      <c r="H229" s="9" t="s">
        <v>57</v>
      </c>
      <c r="I229" s="9" t="s">
        <v>72</v>
      </c>
      <c r="J229" s="11">
        <v>1</v>
      </c>
      <c r="K229" s="11">
        <v>0</v>
      </c>
      <c r="L229" s="11">
        <v>1</v>
      </c>
      <c r="M229" s="11">
        <v>0.5</v>
      </c>
      <c r="N229" s="11">
        <v>1.5</v>
      </c>
      <c r="O229" s="11">
        <v>1</v>
      </c>
      <c r="P229" s="11">
        <v>1</v>
      </c>
      <c r="Q229" s="11">
        <v>1</v>
      </c>
      <c r="R229" s="11">
        <v>1.5</v>
      </c>
      <c r="S229" s="11">
        <v>1.5</v>
      </c>
      <c r="T229" s="13">
        <f t="shared" si="0"/>
        <v>10</v>
      </c>
      <c r="U229" s="13">
        <f t="shared" si="1"/>
        <v>55.555555555555557</v>
      </c>
      <c r="V229" s="12">
        <v>1</v>
      </c>
      <c r="W229" s="12">
        <v>1</v>
      </c>
      <c r="X229" s="12">
        <v>1</v>
      </c>
      <c r="Y229" s="12">
        <v>1</v>
      </c>
      <c r="Z229" s="12">
        <v>1</v>
      </c>
      <c r="AA229" s="12">
        <v>1</v>
      </c>
      <c r="AB229" s="12">
        <v>1</v>
      </c>
      <c r="AC229" s="12">
        <v>1</v>
      </c>
      <c r="AD229" s="15">
        <f t="shared" si="2"/>
        <v>8</v>
      </c>
      <c r="AE229" s="15">
        <f t="shared" si="3"/>
        <v>100</v>
      </c>
      <c r="AF229" s="14">
        <v>4</v>
      </c>
      <c r="AG229" s="14">
        <v>5</v>
      </c>
      <c r="AH229" s="14">
        <v>4</v>
      </c>
      <c r="AI229" s="14">
        <v>4</v>
      </c>
      <c r="AJ229" s="14">
        <v>4</v>
      </c>
      <c r="AK229" s="14">
        <v>3</v>
      </c>
      <c r="AL229" s="14">
        <v>4</v>
      </c>
      <c r="AM229" s="14">
        <v>5</v>
      </c>
      <c r="AN229" s="14">
        <v>4</v>
      </c>
      <c r="AO229" s="17">
        <f t="shared" si="4"/>
        <v>37</v>
      </c>
      <c r="AP229" s="17">
        <f t="shared" si="5"/>
        <v>82.222222222222214</v>
      </c>
      <c r="AQ229" s="16">
        <v>4</v>
      </c>
      <c r="AR229" s="16">
        <v>3</v>
      </c>
      <c r="AS229" s="16">
        <v>4</v>
      </c>
      <c r="AT229" s="16">
        <v>3</v>
      </c>
      <c r="AU229" s="16">
        <v>5</v>
      </c>
      <c r="AV229" s="16">
        <v>4</v>
      </c>
      <c r="AW229" s="16">
        <v>5</v>
      </c>
      <c r="AX229" s="16">
        <v>3</v>
      </c>
      <c r="AY229" s="16">
        <v>5</v>
      </c>
      <c r="AZ229" s="16">
        <v>2</v>
      </c>
      <c r="BA229" s="18">
        <f t="shared" si="6"/>
        <v>38</v>
      </c>
      <c r="BB229" s="18">
        <f t="shared" si="7"/>
        <v>76</v>
      </c>
    </row>
    <row r="230" spans="1:54" ht="22.5" customHeight="1" x14ac:dyDescent="0.2">
      <c r="A230" s="9" t="s">
        <v>52</v>
      </c>
      <c r="B230" s="9" t="s">
        <v>68</v>
      </c>
      <c r="C230" s="9" t="s">
        <v>69</v>
      </c>
      <c r="D230" s="1" t="s">
        <v>57</v>
      </c>
      <c r="E230" s="9" t="s">
        <v>60</v>
      </c>
      <c r="F230" s="9" t="s">
        <v>71</v>
      </c>
      <c r="G230" s="9" t="s">
        <v>61</v>
      </c>
      <c r="H230" s="9" t="s">
        <v>97</v>
      </c>
      <c r="I230" s="9" t="s">
        <v>62</v>
      </c>
      <c r="J230" s="11">
        <v>1</v>
      </c>
      <c r="K230" s="11">
        <v>1</v>
      </c>
      <c r="L230" s="11">
        <v>1</v>
      </c>
      <c r="M230" s="11">
        <v>2</v>
      </c>
      <c r="N230" s="11">
        <v>1.5</v>
      </c>
      <c r="O230" s="11">
        <v>1</v>
      </c>
      <c r="P230" s="11">
        <v>1</v>
      </c>
      <c r="Q230" s="11">
        <v>1</v>
      </c>
      <c r="R230" s="11">
        <v>1.5</v>
      </c>
      <c r="S230" s="11">
        <v>1</v>
      </c>
      <c r="T230" s="13">
        <f t="shared" si="0"/>
        <v>12</v>
      </c>
      <c r="U230" s="13">
        <f t="shared" si="1"/>
        <v>66.666666666666657</v>
      </c>
      <c r="V230" s="12">
        <v>1</v>
      </c>
      <c r="W230" s="12">
        <v>1</v>
      </c>
      <c r="X230" s="12">
        <v>1</v>
      </c>
      <c r="Y230" s="12">
        <v>1</v>
      </c>
      <c r="Z230" s="12">
        <v>1</v>
      </c>
      <c r="AA230" s="12">
        <v>1</v>
      </c>
      <c r="AB230" s="12">
        <v>1</v>
      </c>
      <c r="AC230" s="12">
        <v>1</v>
      </c>
      <c r="AD230" s="15">
        <f t="shared" si="2"/>
        <v>8</v>
      </c>
      <c r="AE230" s="15">
        <f t="shared" si="3"/>
        <v>100</v>
      </c>
      <c r="AF230" s="14">
        <v>4</v>
      </c>
      <c r="AG230" s="14">
        <v>5</v>
      </c>
      <c r="AH230" s="14">
        <v>4</v>
      </c>
      <c r="AI230" s="14">
        <v>4</v>
      </c>
      <c r="AJ230" s="14">
        <v>4</v>
      </c>
      <c r="AK230" s="14">
        <v>5</v>
      </c>
      <c r="AL230" s="14">
        <v>4</v>
      </c>
      <c r="AM230" s="14">
        <v>3</v>
      </c>
      <c r="AN230" s="14">
        <v>4</v>
      </c>
      <c r="AO230" s="17">
        <f t="shared" si="4"/>
        <v>37</v>
      </c>
      <c r="AP230" s="17">
        <f t="shared" si="5"/>
        <v>82.222222222222214</v>
      </c>
      <c r="AQ230" s="16">
        <v>4</v>
      </c>
      <c r="AR230" s="16">
        <v>3</v>
      </c>
      <c r="AS230" s="16">
        <v>3</v>
      </c>
      <c r="AT230" s="16">
        <v>4</v>
      </c>
      <c r="AU230" s="16">
        <v>5</v>
      </c>
      <c r="AV230" s="16">
        <v>5</v>
      </c>
      <c r="AW230" s="16">
        <v>3</v>
      </c>
      <c r="AX230" s="16">
        <v>4</v>
      </c>
      <c r="AY230" s="16">
        <v>5</v>
      </c>
      <c r="AZ230" s="16">
        <v>4</v>
      </c>
      <c r="BA230" s="18">
        <f t="shared" si="6"/>
        <v>40</v>
      </c>
      <c r="BB230" s="18">
        <f t="shared" si="7"/>
        <v>80</v>
      </c>
    </row>
    <row r="231" spans="1:54" ht="22.5" customHeight="1" x14ac:dyDescent="0.2">
      <c r="A231" s="9" t="s">
        <v>74</v>
      </c>
      <c r="B231" s="9" t="s">
        <v>68</v>
      </c>
      <c r="C231" s="9" t="s">
        <v>69</v>
      </c>
      <c r="D231" s="1" t="s">
        <v>57</v>
      </c>
      <c r="E231" s="9" t="s">
        <v>60</v>
      </c>
      <c r="F231" s="9" t="s">
        <v>71</v>
      </c>
      <c r="G231" s="9" t="s">
        <v>95</v>
      </c>
      <c r="H231" s="9" t="s">
        <v>57</v>
      </c>
      <c r="I231" s="9" t="s">
        <v>72</v>
      </c>
      <c r="J231" s="11">
        <v>1</v>
      </c>
      <c r="K231" s="11">
        <v>1</v>
      </c>
      <c r="L231" s="11">
        <v>2</v>
      </c>
      <c r="M231" s="11">
        <v>2</v>
      </c>
      <c r="N231" s="11">
        <v>1</v>
      </c>
      <c r="O231" s="11">
        <v>1</v>
      </c>
      <c r="P231" s="11">
        <v>1.5</v>
      </c>
      <c r="Q231" s="11">
        <v>1</v>
      </c>
      <c r="R231" s="11">
        <v>1.5</v>
      </c>
      <c r="S231" s="11">
        <v>0.5</v>
      </c>
      <c r="T231" s="13">
        <f t="shared" si="0"/>
        <v>12.5</v>
      </c>
      <c r="U231" s="13">
        <f t="shared" si="1"/>
        <v>69.444444444444443</v>
      </c>
      <c r="V231" s="12">
        <v>1</v>
      </c>
      <c r="W231" s="12">
        <v>1</v>
      </c>
      <c r="X231" s="12">
        <v>1</v>
      </c>
      <c r="Y231" s="12">
        <v>1</v>
      </c>
      <c r="Z231" s="12">
        <v>1</v>
      </c>
      <c r="AA231" s="12">
        <v>1</v>
      </c>
      <c r="AB231" s="12">
        <v>1</v>
      </c>
      <c r="AC231" s="12">
        <v>1</v>
      </c>
      <c r="AD231" s="15">
        <f t="shared" si="2"/>
        <v>8</v>
      </c>
      <c r="AE231" s="15">
        <f t="shared" si="3"/>
        <v>100</v>
      </c>
      <c r="AF231" s="14">
        <v>4</v>
      </c>
      <c r="AG231" s="14">
        <v>4</v>
      </c>
      <c r="AH231" s="14">
        <v>4</v>
      </c>
      <c r="AI231" s="14">
        <v>5</v>
      </c>
      <c r="AJ231" s="14">
        <v>4</v>
      </c>
      <c r="AK231" s="14">
        <v>5</v>
      </c>
      <c r="AL231" s="14">
        <v>4</v>
      </c>
      <c r="AM231" s="14">
        <v>4</v>
      </c>
      <c r="AN231" s="14">
        <v>4</v>
      </c>
      <c r="AO231" s="17">
        <f t="shared" si="4"/>
        <v>38</v>
      </c>
      <c r="AP231" s="17">
        <f t="shared" si="5"/>
        <v>84.444444444444443</v>
      </c>
      <c r="AQ231" s="16">
        <v>4</v>
      </c>
      <c r="AR231" s="16">
        <v>3</v>
      </c>
      <c r="AS231" s="16">
        <v>5</v>
      </c>
      <c r="AT231" s="16">
        <v>4</v>
      </c>
      <c r="AU231" s="16">
        <v>5</v>
      </c>
      <c r="AV231" s="16">
        <v>3</v>
      </c>
      <c r="AW231" s="16">
        <v>4</v>
      </c>
      <c r="AX231" s="16">
        <v>5</v>
      </c>
      <c r="AY231" s="16">
        <v>5</v>
      </c>
      <c r="AZ231" s="16">
        <v>4</v>
      </c>
      <c r="BA231" s="18">
        <f t="shared" si="6"/>
        <v>42</v>
      </c>
      <c r="BB231" s="18">
        <f t="shared" si="7"/>
        <v>84</v>
      </c>
    </row>
    <row r="232" spans="1:54" ht="22.5" customHeight="1" x14ac:dyDescent="0.2">
      <c r="A232" s="9" t="s">
        <v>52</v>
      </c>
      <c r="B232" s="9" t="s">
        <v>54</v>
      </c>
      <c r="C232" s="9" t="s">
        <v>69</v>
      </c>
      <c r="D232" s="1" t="s">
        <v>57</v>
      </c>
      <c r="E232" s="9" t="s">
        <v>60</v>
      </c>
      <c r="F232" s="9" t="s">
        <v>71</v>
      </c>
      <c r="G232" s="9" t="s">
        <v>95</v>
      </c>
      <c r="H232" s="9" t="s">
        <v>57</v>
      </c>
      <c r="I232" s="9" t="s">
        <v>62</v>
      </c>
      <c r="J232" s="11">
        <v>1</v>
      </c>
      <c r="K232" s="11">
        <v>1</v>
      </c>
      <c r="L232" s="11">
        <v>1</v>
      </c>
      <c r="M232" s="11">
        <v>1</v>
      </c>
      <c r="N232" s="11">
        <v>1</v>
      </c>
      <c r="O232" s="11">
        <v>1</v>
      </c>
      <c r="P232" s="11">
        <v>1.5</v>
      </c>
      <c r="Q232" s="11">
        <v>1</v>
      </c>
      <c r="R232" s="11">
        <v>1.5</v>
      </c>
      <c r="S232" s="11">
        <v>1.5</v>
      </c>
      <c r="T232" s="13">
        <f t="shared" si="0"/>
        <v>11.5</v>
      </c>
      <c r="U232" s="13">
        <f t="shared" si="1"/>
        <v>63.888888888888886</v>
      </c>
      <c r="V232" s="12">
        <v>1</v>
      </c>
      <c r="W232" s="12">
        <v>1</v>
      </c>
      <c r="X232" s="12">
        <v>1</v>
      </c>
      <c r="Y232" s="12">
        <v>1</v>
      </c>
      <c r="Z232" s="12">
        <v>1</v>
      </c>
      <c r="AA232" s="12">
        <v>1</v>
      </c>
      <c r="AB232" s="12">
        <v>1</v>
      </c>
      <c r="AC232" s="12">
        <v>1</v>
      </c>
      <c r="AD232" s="15">
        <f t="shared" si="2"/>
        <v>8</v>
      </c>
      <c r="AE232" s="15">
        <f t="shared" si="3"/>
        <v>100</v>
      </c>
      <c r="AF232" s="14">
        <v>4</v>
      </c>
      <c r="AG232" s="14">
        <v>5</v>
      </c>
      <c r="AH232" s="14">
        <v>4</v>
      </c>
      <c r="AI232" s="14">
        <v>4</v>
      </c>
      <c r="AJ232" s="14">
        <v>5</v>
      </c>
      <c r="AK232" s="14">
        <v>4</v>
      </c>
      <c r="AL232" s="14">
        <v>4</v>
      </c>
      <c r="AM232" s="14">
        <v>4</v>
      </c>
      <c r="AN232" s="14">
        <v>5</v>
      </c>
      <c r="AO232" s="17">
        <f t="shared" si="4"/>
        <v>39</v>
      </c>
      <c r="AP232" s="17">
        <f t="shared" si="5"/>
        <v>86.666666666666671</v>
      </c>
      <c r="AQ232" s="16">
        <v>4</v>
      </c>
      <c r="AR232" s="16">
        <v>5</v>
      </c>
      <c r="AS232" s="16">
        <v>4</v>
      </c>
      <c r="AT232" s="16">
        <v>3</v>
      </c>
      <c r="AU232" s="16">
        <v>5</v>
      </c>
      <c r="AV232" s="16">
        <v>2</v>
      </c>
      <c r="AW232" s="16">
        <v>5</v>
      </c>
      <c r="AX232" s="16">
        <v>3</v>
      </c>
      <c r="AY232" s="16">
        <v>5</v>
      </c>
      <c r="AZ232" s="16">
        <v>4</v>
      </c>
      <c r="BA232" s="18">
        <f t="shared" si="6"/>
        <v>40</v>
      </c>
      <c r="BB232" s="18">
        <f t="shared" si="7"/>
        <v>80</v>
      </c>
    </row>
    <row r="233" spans="1:54" ht="22.5" customHeight="1" x14ac:dyDescent="0.2">
      <c r="A233" s="9" t="s">
        <v>74</v>
      </c>
      <c r="B233" s="9" t="s">
        <v>68</v>
      </c>
      <c r="C233" s="9" t="s">
        <v>69</v>
      </c>
      <c r="D233" s="1" t="s">
        <v>57</v>
      </c>
      <c r="E233" s="9" t="s">
        <v>71</v>
      </c>
      <c r="F233" s="9" t="s">
        <v>71</v>
      </c>
      <c r="G233" s="9" t="s">
        <v>76</v>
      </c>
      <c r="H233" s="9" t="s">
        <v>57</v>
      </c>
      <c r="I233" s="9" t="s">
        <v>72</v>
      </c>
      <c r="J233" s="11">
        <v>1</v>
      </c>
      <c r="K233" s="11">
        <v>1</v>
      </c>
      <c r="L233" s="11">
        <v>1</v>
      </c>
      <c r="M233" s="11">
        <v>2</v>
      </c>
      <c r="N233" s="11">
        <v>1.5</v>
      </c>
      <c r="O233" s="11">
        <v>1</v>
      </c>
      <c r="P233" s="11">
        <v>1</v>
      </c>
      <c r="Q233" s="11">
        <v>1</v>
      </c>
      <c r="R233" s="11">
        <v>2</v>
      </c>
      <c r="S233" s="11">
        <v>1.5</v>
      </c>
      <c r="T233" s="13">
        <f t="shared" si="0"/>
        <v>13</v>
      </c>
      <c r="U233" s="13">
        <f t="shared" si="1"/>
        <v>72.222222222222214</v>
      </c>
      <c r="V233" s="12">
        <v>1</v>
      </c>
      <c r="W233" s="12">
        <v>1</v>
      </c>
      <c r="X233" s="12">
        <v>1</v>
      </c>
      <c r="Y233" s="12">
        <v>1</v>
      </c>
      <c r="Z233" s="12">
        <v>1</v>
      </c>
      <c r="AA233" s="12">
        <v>0</v>
      </c>
      <c r="AB233" s="12">
        <v>1</v>
      </c>
      <c r="AC233" s="12">
        <v>1</v>
      </c>
      <c r="AD233" s="15">
        <f t="shared" si="2"/>
        <v>7</v>
      </c>
      <c r="AE233" s="15">
        <f t="shared" si="3"/>
        <v>87.5</v>
      </c>
      <c r="AF233" s="14">
        <v>4</v>
      </c>
      <c r="AG233" s="14">
        <v>4</v>
      </c>
      <c r="AH233" s="14">
        <v>5</v>
      </c>
      <c r="AI233" s="14">
        <v>4</v>
      </c>
      <c r="AJ233" s="14">
        <v>5</v>
      </c>
      <c r="AK233" s="14">
        <v>4</v>
      </c>
      <c r="AL233" s="14">
        <v>4</v>
      </c>
      <c r="AM233" s="14">
        <v>5</v>
      </c>
      <c r="AN233" s="14">
        <v>4</v>
      </c>
      <c r="AO233" s="17">
        <f t="shared" si="4"/>
        <v>39</v>
      </c>
      <c r="AP233" s="17">
        <f t="shared" si="5"/>
        <v>86.666666666666671</v>
      </c>
      <c r="AQ233" s="16">
        <v>3</v>
      </c>
      <c r="AR233" s="16">
        <v>4</v>
      </c>
      <c r="AS233" s="16">
        <v>5</v>
      </c>
      <c r="AT233" s="16">
        <v>3</v>
      </c>
      <c r="AU233" s="16">
        <v>5</v>
      </c>
      <c r="AV233" s="16">
        <v>2</v>
      </c>
      <c r="AW233" s="16">
        <v>4</v>
      </c>
      <c r="AX233" s="16">
        <v>5</v>
      </c>
      <c r="AY233" s="16">
        <v>5</v>
      </c>
      <c r="AZ233" s="16">
        <v>4</v>
      </c>
      <c r="BA233" s="18">
        <f t="shared" si="6"/>
        <v>40</v>
      </c>
      <c r="BB233" s="18">
        <f t="shared" si="7"/>
        <v>80</v>
      </c>
    </row>
    <row r="234" spans="1:54" ht="22.5" customHeight="1" x14ac:dyDescent="0.2">
      <c r="A234" s="9" t="s">
        <v>93</v>
      </c>
      <c r="B234" s="9" t="s">
        <v>54</v>
      </c>
      <c r="C234" s="9" t="s">
        <v>55</v>
      </c>
      <c r="D234" s="1" t="s">
        <v>100</v>
      </c>
      <c r="E234" s="9" t="s">
        <v>92</v>
      </c>
      <c r="F234" s="9" t="s">
        <v>92</v>
      </c>
      <c r="G234" s="9" t="s">
        <v>61</v>
      </c>
      <c r="H234" s="9" t="s">
        <v>57</v>
      </c>
      <c r="I234" s="9" t="s">
        <v>81</v>
      </c>
      <c r="J234" s="11">
        <v>1</v>
      </c>
      <c r="K234" s="11">
        <v>1</v>
      </c>
      <c r="L234" s="11">
        <v>0</v>
      </c>
      <c r="M234" s="11">
        <v>1</v>
      </c>
      <c r="N234" s="11">
        <v>0.5</v>
      </c>
      <c r="O234" s="11">
        <v>1</v>
      </c>
      <c r="P234" s="11">
        <v>2</v>
      </c>
      <c r="Q234" s="11">
        <v>1</v>
      </c>
      <c r="R234" s="11">
        <v>2</v>
      </c>
      <c r="S234" s="11">
        <v>2</v>
      </c>
      <c r="T234" s="13">
        <f t="shared" si="0"/>
        <v>11.5</v>
      </c>
      <c r="U234" s="13">
        <f t="shared" si="1"/>
        <v>63.888888888888886</v>
      </c>
      <c r="V234" s="12">
        <v>1</v>
      </c>
      <c r="W234" s="12">
        <v>1</v>
      </c>
      <c r="X234" s="12">
        <v>1</v>
      </c>
      <c r="Y234" s="12">
        <v>1</v>
      </c>
      <c r="Z234" s="12">
        <v>1</v>
      </c>
      <c r="AA234" s="12">
        <v>1</v>
      </c>
      <c r="AB234" s="12">
        <v>1</v>
      </c>
      <c r="AC234" s="12">
        <v>0</v>
      </c>
      <c r="AD234" s="15">
        <f t="shared" si="2"/>
        <v>7</v>
      </c>
      <c r="AE234" s="15">
        <f t="shared" si="3"/>
        <v>87.5</v>
      </c>
      <c r="AF234" s="14">
        <v>5</v>
      </c>
      <c r="AG234" s="14">
        <v>5</v>
      </c>
      <c r="AH234" s="14">
        <v>5</v>
      </c>
      <c r="AI234" s="14">
        <v>5</v>
      </c>
      <c r="AJ234" s="14">
        <v>5</v>
      </c>
      <c r="AK234" s="14">
        <v>5</v>
      </c>
      <c r="AL234" s="14">
        <v>5</v>
      </c>
      <c r="AM234" s="14">
        <v>5</v>
      </c>
      <c r="AN234" s="14">
        <v>5</v>
      </c>
      <c r="AO234" s="17">
        <f t="shared" si="4"/>
        <v>45</v>
      </c>
      <c r="AP234" s="17">
        <f t="shared" si="5"/>
        <v>100</v>
      </c>
      <c r="AQ234" s="16">
        <v>5</v>
      </c>
      <c r="AR234" s="16">
        <v>5</v>
      </c>
      <c r="AS234" s="16">
        <v>5</v>
      </c>
      <c r="AT234" s="16">
        <v>5</v>
      </c>
      <c r="AU234" s="16">
        <v>5</v>
      </c>
      <c r="AV234" s="16">
        <v>5</v>
      </c>
      <c r="AW234" s="16">
        <v>5</v>
      </c>
      <c r="AX234" s="16">
        <v>5</v>
      </c>
      <c r="AY234" s="16">
        <v>5</v>
      </c>
      <c r="AZ234" s="16">
        <v>5</v>
      </c>
      <c r="BA234" s="18">
        <f t="shared" si="6"/>
        <v>50</v>
      </c>
      <c r="BB234" s="18">
        <f t="shared" si="7"/>
        <v>100</v>
      </c>
    </row>
    <row r="235" spans="1:54" ht="22.5" customHeight="1" x14ac:dyDescent="0.2">
      <c r="A235" s="9" t="s">
        <v>93</v>
      </c>
      <c r="B235" s="9" t="s">
        <v>54</v>
      </c>
      <c r="C235" s="9" t="s">
        <v>69</v>
      </c>
      <c r="D235" s="1" t="s">
        <v>75</v>
      </c>
      <c r="E235" s="9" t="s">
        <v>60</v>
      </c>
      <c r="F235" s="9" t="s">
        <v>85</v>
      </c>
      <c r="G235" s="9" t="s">
        <v>76</v>
      </c>
      <c r="H235" s="9" t="s">
        <v>99</v>
      </c>
      <c r="I235" s="9" t="s">
        <v>62</v>
      </c>
      <c r="J235" s="11">
        <v>1</v>
      </c>
      <c r="K235" s="11">
        <v>1</v>
      </c>
      <c r="L235" s="11">
        <v>1</v>
      </c>
      <c r="M235" s="11">
        <v>1</v>
      </c>
      <c r="N235" s="11">
        <v>1</v>
      </c>
      <c r="O235" s="11">
        <v>1</v>
      </c>
      <c r="P235" s="11">
        <v>1</v>
      </c>
      <c r="Q235" s="11">
        <v>0</v>
      </c>
      <c r="R235" s="11">
        <v>0.5</v>
      </c>
      <c r="S235" s="11">
        <v>1</v>
      </c>
      <c r="T235" s="13">
        <f t="shared" si="0"/>
        <v>8.5</v>
      </c>
      <c r="U235" s="13">
        <f t="shared" si="1"/>
        <v>47.222222222222221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5">
        <f t="shared" si="2"/>
        <v>0</v>
      </c>
      <c r="AE235" s="15">
        <f t="shared" si="3"/>
        <v>0</v>
      </c>
      <c r="AF235" s="14">
        <v>1</v>
      </c>
      <c r="AG235" s="14">
        <v>4</v>
      </c>
      <c r="AH235" s="14">
        <v>4</v>
      </c>
      <c r="AI235" s="14">
        <v>2</v>
      </c>
      <c r="AJ235" s="14">
        <v>5</v>
      </c>
      <c r="AK235" s="14">
        <v>5</v>
      </c>
      <c r="AL235" s="14">
        <v>5</v>
      </c>
      <c r="AM235" s="14">
        <v>5</v>
      </c>
      <c r="AN235" s="14">
        <v>5</v>
      </c>
      <c r="AO235" s="17">
        <f t="shared" si="4"/>
        <v>36</v>
      </c>
      <c r="AP235" s="17">
        <f t="shared" si="5"/>
        <v>80</v>
      </c>
      <c r="AQ235" s="16">
        <v>5</v>
      </c>
      <c r="AR235" s="16">
        <v>5</v>
      </c>
      <c r="AS235" s="16">
        <v>5</v>
      </c>
      <c r="AT235" s="16">
        <v>5</v>
      </c>
      <c r="AU235" s="16">
        <v>5</v>
      </c>
      <c r="AV235" s="16">
        <v>5</v>
      </c>
      <c r="AW235" s="16">
        <v>5</v>
      </c>
      <c r="AX235" s="16">
        <v>5</v>
      </c>
      <c r="AY235" s="16">
        <v>5</v>
      </c>
      <c r="AZ235" s="16">
        <v>5</v>
      </c>
      <c r="BA235" s="18">
        <f t="shared" si="6"/>
        <v>50</v>
      </c>
      <c r="BB235" s="18">
        <f t="shared" si="7"/>
        <v>100</v>
      </c>
    </row>
    <row r="236" spans="1:54" ht="22.5" customHeight="1" x14ac:dyDescent="0.2">
      <c r="A236" s="9" t="s">
        <v>93</v>
      </c>
      <c r="B236" s="9" t="s">
        <v>54</v>
      </c>
      <c r="C236" s="9" t="s">
        <v>69</v>
      </c>
      <c r="D236" s="1" t="s">
        <v>100</v>
      </c>
      <c r="E236" s="9" t="s">
        <v>92</v>
      </c>
      <c r="F236" s="9" t="s">
        <v>92</v>
      </c>
      <c r="G236" s="9" t="s">
        <v>61</v>
      </c>
      <c r="H236" s="9" t="s">
        <v>57</v>
      </c>
      <c r="I236" s="9" t="s">
        <v>81</v>
      </c>
      <c r="J236" s="11">
        <v>1</v>
      </c>
      <c r="K236" s="11">
        <v>1</v>
      </c>
      <c r="L236" s="11">
        <v>0</v>
      </c>
      <c r="M236" s="11">
        <v>1</v>
      </c>
      <c r="N236" s="11">
        <v>0.5</v>
      </c>
      <c r="O236" s="11">
        <v>1</v>
      </c>
      <c r="P236" s="11">
        <v>1</v>
      </c>
      <c r="Q236" s="11">
        <v>1</v>
      </c>
      <c r="R236" s="11">
        <v>2</v>
      </c>
      <c r="S236" s="11">
        <v>2</v>
      </c>
      <c r="T236" s="13">
        <f t="shared" si="0"/>
        <v>10.5</v>
      </c>
      <c r="U236" s="13">
        <f t="shared" si="1"/>
        <v>58.333333333333336</v>
      </c>
      <c r="V236" s="12">
        <v>0</v>
      </c>
      <c r="W236" s="12">
        <v>1</v>
      </c>
      <c r="X236" s="12">
        <v>1</v>
      </c>
      <c r="Y236" s="12">
        <v>1</v>
      </c>
      <c r="Z236" s="12">
        <v>1</v>
      </c>
      <c r="AA236" s="12">
        <v>0</v>
      </c>
      <c r="AB236" s="12">
        <v>0</v>
      </c>
      <c r="AC236" s="12">
        <v>1</v>
      </c>
      <c r="AD236" s="15">
        <f t="shared" si="2"/>
        <v>5</v>
      </c>
      <c r="AE236" s="15">
        <f t="shared" si="3"/>
        <v>62.5</v>
      </c>
      <c r="AF236" s="14">
        <v>3</v>
      </c>
      <c r="AG236" s="14">
        <v>3</v>
      </c>
      <c r="AH236" s="14">
        <v>3</v>
      </c>
      <c r="AI236" s="14">
        <v>3</v>
      </c>
      <c r="AJ236" s="14">
        <v>3</v>
      </c>
      <c r="AK236" s="14">
        <v>3</v>
      </c>
      <c r="AL236" s="14">
        <v>4</v>
      </c>
      <c r="AM236" s="14">
        <v>4</v>
      </c>
      <c r="AN236" s="14">
        <v>3</v>
      </c>
      <c r="AO236" s="17">
        <f t="shared" si="4"/>
        <v>29</v>
      </c>
      <c r="AP236" s="17">
        <f t="shared" si="5"/>
        <v>64.444444444444443</v>
      </c>
      <c r="AQ236" s="16">
        <v>5</v>
      </c>
      <c r="AR236" s="16">
        <v>5</v>
      </c>
      <c r="AS236" s="16">
        <v>5</v>
      </c>
      <c r="AT236" s="16">
        <v>5</v>
      </c>
      <c r="AU236" s="16">
        <v>5</v>
      </c>
      <c r="AV236" s="16">
        <v>5</v>
      </c>
      <c r="AW236" s="16">
        <v>4</v>
      </c>
      <c r="AX236" s="16">
        <v>3</v>
      </c>
      <c r="AY236" s="16">
        <v>5</v>
      </c>
      <c r="AZ236" s="16">
        <v>5</v>
      </c>
      <c r="BA236" s="18">
        <f t="shared" si="6"/>
        <v>47</v>
      </c>
      <c r="BB236" s="18">
        <f t="shared" si="7"/>
        <v>94</v>
      </c>
    </row>
    <row r="237" spans="1:54" ht="22.5" customHeight="1" x14ac:dyDescent="0.2">
      <c r="A237" s="9" t="s">
        <v>67</v>
      </c>
      <c r="B237" s="9" t="s">
        <v>54</v>
      </c>
      <c r="C237" s="9" t="s">
        <v>55</v>
      </c>
      <c r="D237" s="1" t="s">
        <v>70</v>
      </c>
      <c r="E237" s="9" t="s">
        <v>85</v>
      </c>
      <c r="F237" s="9" t="s">
        <v>85</v>
      </c>
      <c r="G237" s="9" t="s">
        <v>86</v>
      </c>
      <c r="H237" s="9" t="s">
        <v>97</v>
      </c>
      <c r="I237" s="9" t="s">
        <v>62</v>
      </c>
      <c r="J237" s="11">
        <v>0</v>
      </c>
      <c r="K237" s="11">
        <v>0</v>
      </c>
      <c r="L237" s="11">
        <v>2</v>
      </c>
      <c r="M237" s="11">
        <v>0.5</v>
      </c>
      <c r="N237" s="11">
        <v>0.5</v>
      </c>
      <c r="O237" s="11">
        <v>1</v>
      </c>
      <c r="P237" s="11">
        <v>0.5</v>
      </c>
      <c r="Q237" s="11">
        <v>0</v>
      </c>
      <c r="R237" s="11">
        <v>0</v>
      </c>
      <c r="S237" s="11">
        <v>1</v>
      </c>
      <c r="T237" s="13">
        <f t="shared" si="0"/>
        <v>5.5</v>
      </c>
      <c r="U237" s="13">
        <f t="shared" si="1"/>
        <v>30.555555555555557</v>
      </c>
      <c r="V237" s="12">
        <v>0</v>
      </c>
      <c r="W237" s="12">
        <v>0</v>
      </c>
      <c r="X237" s="12">
        <v>0</v>
      </c>
      <c r="Y237" s="12">
        <v>0</v>
      </c>
      <c r="Z237" s="12">
        <v>1</v>
      </c>
      <c r="AA237" s="12">
        <v>1</v>
      </c>
      <c r="AB237" s="12">
        <v>0</v>
      </c>
      <c r="AC237" s="12">
        <v>0</v>
      </c>
      <c r="AD237" s="15">
        <f t="shared" si="2"/>
        <v>2</v>
      </c>
      <c r="AE237" s="15">
        <f t="shared" si="3"/>
        <v>25</v>
      </c>
      <c r="AF237" s="14">
        <v>5</v>
      </c>
      <c r="AG237" s="14">
        <v>5</v>
      </c>
      <c r="AH237" s="14">
        <v>3</v>
      </c>
      <c r="AI237" s="14">
        <v>3</v>
      </c>
      <c r="AJ237" s="14">
        <v>5</v>
      </c>
      <c r="AK237" s="14">
        <v>4</v>
      </c>
      <c r="AL237" s="14">
        <v>3</v>
      </c>
      <c r="AM237" s="14">
        <v>4</v>
      </c>
      <c r="AN237" s="14">
        <v>5</v>
      </c>
      <c r="AO237" s="17">
        <f t="shared" si="4"/>
        <v>37</v>
      </c>
      <c r="AP237" s="17">
        <f t="shared" si="5"/>
        <v>82.222222222222214</v>
      </c>
      <c r="AQ237" s="16">
        <v>3</v>
      </c>
      <c r="AR237" s="16">
        <v>3</v>
      </c>
      <c r="AS237" s="16">
        <v>4</v>
      </c>
      <c r="AT237" s="16">
        <v>5</v>
      </c>
      <c r="AU237" s="16">
        <v>5</v>
      </c>
      <c r="AV237" s="16">
        <v>5</v>
      </c>
      <c r="AW237" s="16">
        <v>4</v>
      </c>
      <c r="AX237" s="16">
        <v>5</v>
      </c>
      <c r="AY237" s="16">
        <v>5</v>
      </c>
      <c r="AZ237" s="16">
        <v>5</v>
      </c>
      <c r="BA237" s="18">
        <f t="shared" si="6"/>
        <v>44</v>
      </c>
      <c r="BB237" s="18">
        <f t="shared" si="7"/>
        <v>88</v>
      </c>
    </row>
    <row r="238" spans="1:54" ht="22.5" customHeight="1" x14ac:dyDescent="0.2">
      <c r="A238" s="9" t="s">
        <v>52</v>
      </c>
      <c r="B238" s="9" t="s">
        <v>54</v>
      </c>
      <c r="C238" s="9" t="s">
        <v>55</v>
      </c>
      <c r="D238" s="1" t="s">
        <v>75</v>
      </c>
      <c r="E238" s="9" t="s">
        <v>85</v>
      </c>
      <c r="F238" s="9" t="s">
        <v>85</v>
      </c>
      <c r="G238" s="9" t="s">
        <v>61</v>
      </c>
      <c r="H238" s="9" t="s">
        <v>57</v>
      </c>
      <c r="I238" s="9" t="s">
        <v>62</v>
      </c>
      <c r="J238" s="11">
        <v>0</v>
      </c>
      <c r="K238" s="11">
        <v>0</v>
      </c>
      <c r="L238" s="11">
        <v>3</v>
      </c>
      <c r="M238" s="11">
        <v>1</v>
      </c>
      <c r="N238" s="11">
        <v>1.5</v>
      </c>
      <c r="O238" s="11">
        <v>0</v>
      </c>
      <c r="P238" s="11">
        <v>1</v>
      </c>
      <c r="Q238" s="11">
        <v>1</v>
      </c>
      <c r="R238" s="11">
        <v>2</v>
      </c>
      <c r="S238" s="11">
        <v>2</v>
      </c>
      <c r="T238" s="13">
        <f t="shared" si="0"/>
        <v>11.5</v>
      </c>
      <c r="U238" s="13">
        <f t="shared" si="1"/>
        <v>63.888888888888886</v>
      </c>
      <c r="V238" s="12">
        <v>1</v>
      </c>
      <c r="W238" s="12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5">
        <f t="shared" si="2"/>
        <v>2</v>
      </c>
      <c r="AE238" s="15">
        <f t="shared" si="3"/>
        <v>25</v>
      </c>
      <c r="AF238" s="14">
        <v>5</v>
      </c>
      <c r="AG238" s="14">
        <v>5</v>
      </c>
      <c r="AH238" s="14">
        <v>5</v>
      </c>
      <c r="AI238" s="14">
        <v>5</v>
      </c>
      <c r="AJ238" s="14">
        <v>5</v>
      </c>
      <c r="AK238" s="14">
        <v>5</v>
      </c>
      <c r="AL238" s="14">
        <v>1</v>
      </c>
      <c r="AM238" s="14">
        <v>5</v>
      </c>
      <c r="AN238" s="14">
        <v>5</v>
      </c>
      <c r="AO238" s="17">
        <f t="shared" si="4"/>
        <v>41</v>
      </c>
      <c r="AP238" s="17">
        <f t="shared" si="5"/>
        <v>91.111111111111114</v>
      </c>
      <c r="AQ238" s="16">
        <v>5</v>
      </c>
      <c r="AR238" s="16">
        <v>5</v>
      </c>
      <c r="AS238" s="16">
        <v>5</v>
      </c>
      <c r="AT238" s="16">
        <v>5</v>
      </c>
      <c r="AU238" s="16">
        <v>5</v>
      </c>
      <c r="AV238" s="16">
        <v>5</v>
      </c>
      <c r="AW238" s="16">
        <v>1</v>
      </c>
      <c r="AX238" s="16">
        <v>4</v>
      </c>
      <c r="AY238" s="16">
        <v>5</v>
      </c>
      <c r="AZ238" s="16">
        <v>5</v>
      </c>
      <c r="BA238" s="18">
        <f t="shared" si="6"/>
        <v>45</v>
      </c>
      <c r="BB238" s="18">
        <f t="shared" si="7"/>
        <v>90</v>
      </c>
    </row>
    <row r="239" spans="1:54" ht="22.5" customHeight="1" x14ac:dyDescent="0.2">
      <c r="A239" s="9" t="s">
        <v>93</v>
      </c>
      <c r="B239" s="9" t="s">
        <v>68</v>
      </c>
      <c r="C239" s="9" t="s">
        <v>69</v>
      </c>
      <c r="D239" s="1" t="s">
        <v>100</v>
      </c>
      <c r="E239" s="9" t="s">
        <v>92</v>
      </c>
      <c r="F239" s="9" t="s">
        <v>92</v>
      </c>
      <c r="G239" s="9" t="s">
        <v>61</v>
      </c>
      <c r="H239" s="9" t="s">
        <v>57</v>
      </c>
      <c r="I239" s="9" t="s">
        <v>81</v>
      </c>
      <c r="J239" s="11">
        <v>1</v>
      </c>
      <c r="K239" s="11">
        <v>1</v>
      </c>
      <c r="L239" s="11">
        <v>2</v>
      </c>
      <c r="M239" s="11">
        <v>1</v>
      </c>
      <c r="N239" s="11">
        <v>1</v>
      </c>
      <c r="O239" s="11">
        <v>1</v>
      </c>
      <c r="P239" s="11">
        <v>0.5</v>
      </c>
      <c r="Q239" s="11">
        <v>1</v>
      </c>
      <c r="R239" s="11">
        <v>1.5</v>
      </c>
      <c r="S239" s="11">
        <v>0.5</v>
      </c>
      <c r="T239" s="13">
        <f t="shared" si="0"/>
        <v>10.5</v>
      </c>
      <c r="U239" s="13">
        <f t="shared" si="1"/>
        <v>58.333333333333336</v>
      </c>
      <c r="V239" s="12">
        <v>1</v>
      </c>
      <c r="W239" s="12">
        <v>1</v>
      </c>
      <c r="X239" s="12">
        <v>1</v>
      </c>
      <c r="Y239" s="12">
        <v>1</v>
      </c>
      <c r="Z239" s="12">
        <v>1</v>
      </c>
      <c r="AA239" s="12">
        <v>1</v>
      </c>
      <c r="AB239" s="12">
        <v>1</v>
      </c>
      <c r="AC239" s="12">
        <v>1</v>
      </c>
      <c r="AD239" s="15">
        <f t="shared" si="2"/>
        <v>8</v>
      </c>
      <c r="AE239" s="15">
        <f t="shared" si="3"/>
        <v>100</v>
      </c>
      <c r="AF239" s="14">
        <v>5</v>
      </c>
      <c r="AG239" s="14">
        <v>4</v>
      </c>
      <c r="AH239" s="14">
        <v>3</v>
      </c>
      <c r="AI239" s="14">
        <v>4</v>
      </c>
      <c r="AJ239" s="14">
        <v>4</v>
      </c>
      <c r="AK239" s="14">
        <v>4</v>
      </c>
      <c r="AL239" s="14">
        <v>4</v>
      </c>
      <c r="AM239" s="14">
        <v>4</v>
      </c>
      <c r="AN239" s="14">
        <v>4</v>
      </c>
      <c r="AO239" s="17">
        <f t="shared" si="4"/>
        <v>36</v>
      </c>
      <c r="AP239" s="17">
        <f t="shared" si="5"/>
        <v>80</v>
      </c>
      <c r="AQ239" s="16">
        <v>4</v>
      </c>
      <c r="AR239" s="16">
        <v>4</v>
      </c>
      <c r="AS239" s="16">
        <v>4</v>
      </c>
      <c r="AT239" s="16">
        <v>5</v>
      </c>
      <c r="AU239" s="16">
        <v>5</v>
      </c>
      <c r="AV239" s="16">
        <v>5</v>
      </c>
      <c r="AW239" s="16">
        <v>5</v>
      </c>
      <c r="AX239" s="16">
        <v>5</v>
      </c>
      <c r="AY239" s="16">
        <v>5</v>
      </c>
      <c r="AZ239" s="16">
        <v>5</v>
      </c>
      <c r="BA239" s="18">
        <f t="shared" si="6"/>
        <v>47</v>
      </c>
      <c r="BB239" s="18">
        <f t="shared" si="7"/>
        <v>94</v>
      </c>
    </row>
    <row r="240" spans="1:54" ht="22.5" customHeight="1" x14ac:dyDescent="0.2">
      <c r="A240" s="9" t="s">
        <v>93</v>
      </c>
      <c r="B240" s="9" t="s">
        <v>68</v>
      </c>
      <c r="C240" s="9" t="s">
        <v>55</v>
      </c>
      <c r="D240" s="1" t="s">
        <v>84</v>
      </c>
      <c r="E240" s="9" t="s">
        <v>85</v>
      </c>
      <c r="F240" s="9" t="s">
        <v>92</v>
      </c>
      <c r="G240" s="9" t="s">
        <v>61</v>
      </c>
      <c r="H240" s="9" t="s">
        <v>57</v>
      </c>
      <c r="I240" s="9" t="s">
        <v>81</v>
      </c>
      <c r="J240" s="11">
        <v>1</v>
      </c>
      <c r="K240" s="11">
        <v>0</v>
      </c>
      <c r="L240" s="11">
        <v>4</v>
      </c>
      <c r="M240" s="11">
        <v>0.5</v>
      </c>
      <c r="N240" s="11">
        <v>1</v>
      </c>
      <c r="O240" s="11">
        <v>1</v>
      </c>
      <c r="P240" s="11">
        <v>1</v>
      </c>
      <c r="Q240" s="11">
        <v>0</v>
      </c>
      <c r="R240" s="11">
        <v>1</v>
      </c>
      <c r="S240" s="11">
        <v>1.5</v>
      </c>
      <c r="T240" s="13">
        <f t="shared" si="0"/>
        <v>11</v>
      </c>
      <c r="U240" s="13">
        <f t="shared" si="1"/>
        <v>61.111111111111114</v>
      </c>
      <c r="V240" s="12">
        <v>1</v>
      </c>
      <c r="W240" s="12">
        <v>1</v>
      </c>
      <c r="X240" s="12">
        <v>1</v>
      </c>
      <c r="Y240" s="12">
        <v>1</v>
      </c>
      <c r="Z240" s="12">
        <v>1</v>
      </c>
      <c r="AA240" s="12">
        <v>1</v>
      </c>
      <c r="AB240" s="12">
        <v>0</v>
      </c>
      <c r="AC240" s="12">
        <v>0</v>
      </c>
      <c r="AD240" s="15">
        <f t="shared" si="2"/>
        <v>6</v>
      </c>
      <c r="AE240" s="15">
        <f t="shared" si="3"/>
        <v>75</v>
      </c>
      <c r="AF240" s="14">
        <v>5</v>
      </c>
      <c r="AG240" s="14">
        <v>5</v>
      </c>
      <c r="AH240" s="14">
        <v>5</v>
      </c>
      <c r="AI240" s="14">
        <v>4</v>
      </c>
      <c r="AJ240" s="14">
        <v>4</v>
      </c>
      <c r="AK240" s="14">
        <v>4</v>
      </c>
      <c r="AL240" s="14">
        <v>4</v>
      </c>
      <c r="AM240" s="14">
        <v>4</v>
      </c>
      <c r="AN240" s="14">
        <v>4</v>
      </c>
      <c r="AO240" s="17">
        <f t="shared" si="4"/>
        <v>39</v>
      </c>
      <c r="AP240" s="17">
        <f t="shared" si="5"/>
        <v>86.666666666666671</v>
      </c>
      <c r="AQ240" s="16">
        <v>2</v>
      </c>
      <c r="AR240" s="16">
        <v>2</v>
      </c>
      <c r="AS240" s="16">
        <v>2</v>
      </c>
      <c r="AT240" s="16">
        <v>2</v>
      </c>
      <c r="AU240" s="16">
        <v>1</v>
      </c>
      <c r="AV240" s="16">
        <v>1</v>
      </c>
      <c r="AW240" s="16">
        <v>2</v>
      </c>
      <c r="AX240" s="16">
        <v>2</v>
      </c>
      <c r="AY240" s="16">
        <v>1</v>
      </c>
      <c r="AZ240" s="16">
        <v>3</v>
      </c>
      <c r="BA240" s="18">
        <f t="shared" si="6"/>
        <v>18</v>
      </c>
      <c r="BB240" s="18">
        <f t="shared" si="7"/>
        <v>36</v>
      </c>
    </row>
    <row r="241" spans="20:54" ht="12.75" x14ac:dyDescent="0.2">
      <c r="T241" s="29"/>
      <c r="U241" s="29"/>
      <c r="AD241" s="30"/>
      <c r="AE241" s="30"/>
      <c r="AO241" s="31"/>
      <c r="AP241" s="31"/>
      <c r="BA241" s="32"/>
      <c r="BB241" s="32"/>
    </row>
    <row r="242" spans="20:54" ht="12.75" x14ac:dyDescent="0.2">
      <c r="T242" s="29"/>
      <c r="U242" s="29"/>
      <c r="AD242" s="30"/>
      <c r="AE242" s="30"/>
      <c r="AO242" s="31"/>
      <c r="AP242" s="31"/>
      <c r="BA242" s="32"/>
      <c r="BB242" s="32"/>
    </row>
    <row r="243" spans="20:54" ht="12.75" x14ac:dyDescent="0.2">
      <c r="T243" s="29"/>
      <c r="U243" s="29"/>
      <c r="AD243" s="30"/>
      <c r="AE243" s="30"/>
      <c r="AO243" s="31"/>
      <c r="AP243" s="31"/>
      <c r="BA243" s="32"/>
      <c r="BB243" s="32"/>
    </row>
    <row r="244" spans="20:54" ht="12.75" x14ac:dyDescent="0.2">
      <c r="T244" s="29"/>
      <c r="U244" s="29"/>
      <c r="AD244" s="30"/>
      <c r="AE244" s="30"/>
      <c r="AO244" s="31"/>
      <c r="AP244" s="31"/>
      <c r="BA244" s="32"/>
      <c r="BB244" s="32"/>
    </row>
    <row r="245" spans="20:54" ht="12.75" x14ac:dyDescent="0.2">
      <c r="T245" s="29"/>
      <c r="U245" s="29"/>
      <c r="AD245" s="30"/>
      <c r="AE245" s="30"/>
      <c r="AO245" s="31"/>
      <c r="AP245" s="31"/>
      <c r="BA245" s="32"/>
      <c r="BB245" s="32"/>
    </row>
    <row r="246" spans="20:54" ht="12.75" x14ac:dyDescent="0.2">
      <c r="T246" s="29"/>
      <c r="U246" s="29"/>
      <c r="AD246" s="30"/>
      <c r="AE246" s="30"/>
      <c r="AO246" s="31"/>
      <c r="AP246" s="31"/>
      <c r="BA246" s="32"/>
      <c r="BB246" s="32"/>
    </row>
    <row r="247" spans="20:54" ht="12.75" x14ac:dyDescent="0.2">
      <c r="T247" s="29"/>
      <c r="U247" s="29"/>
      <c r="AD247" s="30"/>
      <c r="AE247" s="30"/>
      <c r="AO247" s="31"/>
      <c r="AP247" s="31"/>
      <c r="BA247" s="32"/>
      <c r="BB247" s="32"/>
    </row>
    <row r="248" spans="20:54" ht="12.75" x14ac:dyDescent="0.2">
      <c r="T248" s="29"/>
      <c r="U248" s="29"/>
      <c r="AD248" s="30"/>
      <c r="AE248" s="30"/>
      <c r="AO248" s="31"/>
      <c r="AP248" s="31"/>
      <c r="BA248" s="32"/>
      <c r="BB248" s="32"/>
    </row>
    <row r="249" spans="20:54" ht="12.75" x14ac:dyDescent="0.2">
      <c r="T249" s="29"/>
      <c r="U249" s="29"/>
      <c r="AD249" s="30"/>
      <c r="AE249" s="30"/>
      <c r="AO249" s="31"/>
      <c r="AP249" s="31"/>
      <c r="BA249" s="32"/>
      <c r="BB249" s="32"/>
    </row>
    <row r="250" spans="20:54" ht="12.75" x14ac:dyDescent="0.2">
      <c r="T250" s="29"/>
      <c r="U250" s="29"/>
      <c r="AD250" s="30"/>
      <c r="AE250" s="30"/>
      <c r="AO250" s="31"/>
      <c r="AP250" s="31"/>
      <c r="BA250" s="32"/>
      <c r="BB250" s="32"/>
    </row>
    <row r="251" spans="20:54" ht="12.75" x14ac:dyDescent="0.2">
      <c r="T251" s="29"/>
      <c r="U251" s="29"/>
      <c r="AD251" s="30"/>
      <c r="AE251" s="30"/>
      <c r="AO251" s="31"/>
      <c r="AP251" s="31"/>
      <c r="BA251" s="32"/>
      <c r="BB251" s="32"/>
    </row>
    <row r="252" spans="20:54" ht="12.75" x14ac:dyDescent="0.2">
      <c r="T252" s="29"/>
      <c r="U252" s="29"/>
      <c r="AD252" s="30"/>
      <c r="AE252" s="30"/>
      <c r="AO252" s="31"/>
      <c r="AP252" s="31"/>
      <c r="BA252" s="32"/>
      <c r="BB252" s="32"/>
    </row>
    <row r="253" spans="20:54" ht="12.75" x14ac:dyDescent="0.2">
      <c r="T253" s="29"/>
      <c r="U253" s="29"/>
      <c r="AD253" s="30"/>
      <c r="AE253" s="30"/>
      <c r="AO253" s="31"/>
      <c r="AP253" s="31"/>
      <c r="BA253" s="32"/>
      <c r="BB253" s="32"/>
    </row>
    <row r="254" spans="20:54" ht="12.75" x14ac:dyDescent="0.2">
      <c r="T254" s="29"/>
      <c r="U254" s="29"/>
      <c r="AD254" s="30"/>
      <c r="AE254" s="30"/>
      <c r="AO254" s="31"/>
      <c r="AP254" s="31"/>
      <c r="BA254" s="32"/>
      <c r="BB254" s="32"/>
    </row>
    <row r="255" spans="20:54" ht="12.75" x14ac:dyDescent="0.2">
      <c r="T255" s="29"/>
      <c r="U255" s="29"/>
      <c r="AD255" s="30"/>
      <c r="AE255" s="30"/>
      <c r="AO255" s="31"/>
      <c r="AP255" s="31"/>
      <c r="BA255" s="32"/>
      <c r="BB255" s="32"/>
    </row>
    <row r="256" spans="20:54" ht="12.75" x14ac:dyDescent="0.2">
      <c r="T256" s="29"/>
      <c r="U256" s="29"/>
      <c r="AD256" s="30"/>
      <c r="AE256" s="30"/>
      <c r="AO256" s="31"/>
      <c r="AP256" s="31"/>
      <c r="BA256" s="32"/>
      <c r="BB256" s="32"/>
    </row>
    <row r="257" spans="20:54" ht="12.75" x14ac:dyDescent="0.2">
      <c r="T257" s="29"/>
      <c r="U257" s="29"/>
      <c r="AD257" s="30"/>
      <c r="AE257" s="30"/>
      <c r="AO257" s="31"/>
      <c r="AP257" s="31"/>
      <c r="BA257" s="32"/>
      <c r="BB257" s="32"/>
    </row>
    <row r="258" spans="20:54" ht="12.75" x14ac:dyDescent="0.2">
      <c r="T258" s="29"/>
      <c r="U258" s="29"/>
      <c r="AD258" s="30"/>
      <c r="AE258" s="30"/>
      <c r="AO258" s="31"/>
      <c r="AP258" s="31"/>
      <c r="BA258" s="32"/>
      <c r="BB258" s="32"/>
    </row>
    <row r="259" spans="20:54" ht="12.75" x14ac:dyDescent="0.2">
      <c r="T259" s="29"/>
      <c r="U259" s="29"/>
      <c r="AD259" s="30"/>
      <c r="AE259" s="30"/>
      <c r="AO259" s="31"/>
      <c r="AP259" s="31"/>
      <c r="BA259" s="32"/>
      <c r="BB259" s="32"/>
    </row>
    <row r="260" spans="20:54" ht="12.75" x14ac:dyDescent="0.2">
      <c r="T260" s="29"/>
      <c r="U260" s="29"/>
      <c r="AD260" s="30"/>
      <c r="AE260" s="30"/>
      <c r="AO260" s="31"/>
      <c r="AP260" s="31"/>
      <c r="BA260" s="32"/>
      <c r="BB260" s="32"/>
    </row>
    <row r="261" spans="20:54" ht="12.75" x14ac:dyDescent="0.2">
      <c r="T261" s="29"/>
      <c r="U261" s="29"/>
      <c r="AD261" s="30"/>
      <c r="AE261" s="30"/>
      <c r="AO261" s="31"/>
      <c r="AP261" s="31"/>
      <c r="BA261" s="32"/>
      <c r="BB261" s="32"/>
    </row>
    <row r="262" spans="20:54" ht="12.75" x14ac:dyDescent="0.2">
      <c r="T262" s="29"/>
      <c r="U262" s="29"/>
      <c r="AD262" s="30"/>
      <c r="AE262" s="30"/>
      <c r="AO262" s="31"/>
      <c r="AP262" s="31"/>
      <c r="BA262" s="32"/>
      <c r="BB262" s="32"/>
    </row>
    <row r="263" spans="20:54" ht="12.75" x14ac:dyDescent="0.2">
      <c r="T263" s="29"/>
      <c r="U263" s="29"/>
      <c r="AD263" s="30"/>
      <c r="AE263" s="30"/>
      <c r="AO263" s="31"/>
      <c r="AP263" s="31"/>
      <c r="BA263" s="32"/>
      <c r="BB263" s="32"/>
    </row>
    <row r="264" spans="20:54" ht="12.75" x14ac:dyDescent="0.2">
      <c r="T264" s="29"/>
      <c r="U264" s="29"/>
      <c r="AD264" s="30"/>
      <c r="AE264" s="30"/>
      <c r="AO264" s="31"/>
      <c r="AP264" s="31"/>
      <c r="BA264" s="32"/>
      <c r="BB264" s="32"/>
    </row>
    <row r="265" spans="20:54" ht="12.75" x14ac:dyDescent="0.2">
      <c r="T265" s="29"/>
      <c r="U265" s="29"/>
      <c r="AD265" s="30"/>
      <c r="AE265" s="30"/>
      <c r="AO265" s="31"/>
      <c r="AP265" s="31"/>
      <c r="BA265" s="32"/>
      <c r="BB265" s="32"/>
    </row>
    <row r="266" spans="20:54" ht="12.75" x14ac:dyDescent="0.2">
      <c r="T266" s="29"/>
      <c r="U266" s="29"/>
      <c r="AD266" s="30"/>
      <c r="AE266" s="30"/>
      <c r="AO266" s="31"/>
      <c r="AP266" s="31"/>
      <c r="BA266" s="32"/>
      <c r="BB266" s="32"/>
    </row>
    <row r="267" spans="20:54" ht="12.75" x14ac:dyDescent="0.2">
      <c r="T267" s="29"/>
      <c r="U267" s="29"/>
      <c r="AD267" s="30"/>
      <c r="AE267" s="30"/>
      <c r="AO267" s="31"/>
      <c r="AP267" s="31"/>
      <c r="BA267" s="32"/>
      <c r="BB267" s="32"/>
    </row>
    <row r="268" spans="20:54" ht="12.75" x14ac:dyDescent="0.2">
      <c r="T268" s="29"/>
      <c r="U268" s="29"/>
      <c r="AD268" s="30"/>
      <c r="AE268" s="30"/>
      <c r="AO268" s="31"/>
      <c r="AP268" s="31"/>
      <c r="BA268" s="32"/>
      <c r="BB268" s="32"/>
    </row>
    <row r="269" spans="20:54" ht="12.75" x14ac:dyDescent="0.2">
      <c r="T269" s="29"/>
      <c r="U269" s="29"/>
      <c r="AD269" s="30"/>
      <c r="AE269" s="30"/>
      <c r="AO269" s="31"/>
      <c r="AP269" s="31"/>
      <c r="BA269" s="32"/>
      <c r="BB269" s="32"/>
    </row>
    <row r="270" spans="20:54" ht="12.75" x14ac:dyDescent="0.2">
      <c r="T270" s="29"/>
      <c r="U270" s="29"/>
      <c r="AD270" s="30"/>
      <c r="AE270" s="30"/>
      <c r="AO270" s="31"/>
      <c r="AP270" s="31"/>
      <c r="BA270" s="32"/>
      <c r="BB270" s="32"/>
    </row>
    <row r="271" spans="20:54" ht="12.75" x14ac:dyDescent="0.2">
      <c r="T271" s="29"/>
      <c r="U271" s="29"/>
      <c r="AD271" s="30"/>
      <c r="AE271" s="30"/>
      <c r="AO271" s="31"/>
      <c r="AP271" s="31"/>
      <c r="BA271" s="32"/>
      <c r="BB271" s="32"/>
    </row>
    <row r="272" spans="20:54" ht="12.75" x14ac:dyDescent="0.2">
      <c r="T272" s="29"/>
      <c r="U272" s="29"/>
      <c r="AD272" s="30"/>
      <c r="AE272" s="30"/>
      <c r="AO272" s="31"/>
      <c r="AP272" s="31"/>
      <c r="BA272" s="32"/>
      <c r="BB272" s="32"/>
    </row>
    <row r="273" spans="20:54" ht="12.75" x14ac:dyDescent="0.2">
      <c r="T273" s="29"/>
      <c r="U273" s="29"/>
      <c r="AD273" s="30"/>
      <c r="AE273" s="30"/>
      <c r="AO273" s="31"/>
      <c r="AP273" s="31"/>
      <c r="BA273" s="32"/>
      <c r="BB273" s="32"/>
    </row>
    <row r="274" spans="20:54" ht="12.75" x14ac:dyDescent="0.2">
      <c r="T274" s="29"/>
      <c r="U274" s="29"/>
      <c r="AD274" s="30"/>
      <c r="AE274" s="30"/>
      <c r="AO274" s="31"/>
      <c r="AP274" s="31"/>
      <c r="BA274" s="32"/>
      <c r="BB274" s="32"/>
    </row>
    <row r="275" spans="20:54" ht="12.75" x14ac:dyDescent="0.2">
      <c r="T275" s="29"/>
      <c r="U275" s="29"/>
      <c r="AD275" s="30"/>
      <c r="AE275" s="30"/>
      <c r="AO275" s="31"/>
      <c r="AP275" s="31"/>
      <c r="BA275" s="32"/>
      <c r="BB275" s="32"/>
    </row>
    <row r="276" spans="20:54" ht="12.75" x14ac:dyDescent="0.2">
      <c r="T276" s="29"/>
      <c r="U276" s="29"/>
      <c r="AD276" s="30"/>
      <c r="AE276" s="30"/>
      <c r="AO276" s="31"/>
      <c r="AP276" s="31"/>
      <c r="BA276" s="32"/>
      <c r="BB276" s="32"/>
    </row>
    <row r="277" spans="20:54" ht="12.75" x14ac:dyDescent="0.2">
      <c r="T277" s="29"/>
      <c r="U277" s="29"/>
      <c r="AD277" s="30"/>
      <c r="AE277" s="30"/>
      <c r="AO277" s="31"/>
      <c r="AP277" s="31"/>
      <c r="BA277" s="32"/>
      <c r="BB277" s="32"/>
    </row>
    <row r="278" spans="20:54" ht="12.75" x14ac:dyDescent="0.2">
      <c r="T278" s="29"/>
      <c r="U278" s="29"/>
      <c r="AD278" s="30"/>
      <c r="AE278" s="30"/>
      <c r="AO278" s="31"/>
      <c r="AP278" s="31"/>
      <c r="BA278" s="32"/>
      <c r="BB278" s="32"/>
    </row>
    <row r="279" spans="20:54" ht="12.75" x14ac:dyDescent="0.2">
      <c r="T279" s="29"/>
      <c r="U279" s="29"/>
      <c r="AD279" s="30"/>
      <c r="AE279" s="30"/>
      <c r="AO279" s="31"/>
      <c r="AP279" s="31"/>
      <c r="BA279" s="32"/>
      <c r="BB279" s="32"/>
    </row>
    <row r="280" spans="20:54" ht="12.75" x14ac:dyDescent="0.2">
      <c r="T280" s="29"/>
      <c r="U280" s="29"/>
      <c r="AD280" s="30"/>
      <c r="AE280" s="30"/>
      <c r="AO280" s="31"/>
      <c r="AP280" s="31"/>
      <c r="BA280" s="32"/>
      <c r="BB280" s="32"/>
    </row>
    <row r="281" spans="20:54" ht="12.75" x14ac:dyDescent="0.2">
      <c r="T281" s="29"/>
      <c r="U281" s="29"/>
      <c r="AD281" s="30"/>
      <c r="AE281" s="30"/>
      <c r="AO281" s="31"/>
      <c r="AP281" s="31"/>
      <c r="BA281" s="32"/>
      <c r="BB281" s="32"/>
    </row>
    <row r="282" spans="20:54" ht="12.75" x14ac:dyDescent="0.2">
      <c r="T282" s="29"/>
      <c r="U282" s="29"/>
      <c r="AD282" s="30"/>
      <c r="AE282" s="30"/>
      <c r="AO282" s="31"/>
      <c r="AP282" s="31"/>
      <c r="BA282" s="32"/>
      <c r="BB282" s="32"/>
    </row>
    <row r="283" spans="20:54" ht="12.75" x14ac:dyDescent="0.2">
      <c r="T283" s="29"/>
      <c r="U283" s="29"/>
      <c r="AD283" s="30"/>
      <c r="AE283" s="30"/>
      <c r="AO283" s="31"/>
      <c r="AP283" s="31"/>
      <c r="BA283" s="32"/>
      <c r="BB283" s="32"/>
    </row>
    <row r="284" spans="20:54" ht="12.75" x14ac:dyDescent="0.2">
      <c r="T284" s="29"/>
      <c r="U284" s="29"/>
      <c r="AD284" s="30"/>
      <c r="AE284" s="30"/>
      <c r="AO284" s="31"/>
      <c r="AP284" s="31"/>
      <c r="BA284" s="32"/>
      <c r="BB284" s="32"/>
    </row>
    <row r="285" spans="20:54" ht="12.75" x14ac:dyDescent="0.2">
      <c r="T285" s="29"/>
      <c r="U285" s="29"/>
      <c r="AD285" s="30"/>
      <c r="AE285" s="30"/>
      <c r="AO285" s="31"/>
      <c r="AP285" s="31"/>
      <c r="BA285" s="32"/>
      <c r="BB285" s="32"/>
    </row>
    <row r="286" spans="20:54" ht="12.75" x14ac:dyDescent="0.2">
      <c r="T286" s="29"/>
      <c r="U286" s="29"/>
      <c r="AD286" s="30"/>
      <c r="AE286" s="30"/>
      <c r="AO286" s="31"/>
      <c r="AP286" s="31"/>
      <c r="BA286" s="32"/>
      <c r="BB286" s="32"/>
    </row>
    <row r="287" spans="20:54" ht="12.75" x14ac:dyDescent="0.2">
      <c r="T287" s="29"/>
      <c r="U287" s="29"/>
      <c r="AD287" s="30"/>
      <c r="AE287" s="30"/>
      <c r="AO287" s="31"/>
      <c r="AP287" s="31"/>
      <c r="BA287" s="32"/>
      <c r="BB287" s="32"/>
    </row>
    <row r="288" spans="20:54" ht="12.75" x14ac:dyDescent="0.2">
      <c r="T288" s="29"/>
      <c r="U288" s="29"/>
      <c r="AD288" s="30"/>
      <c r="AE288" s="30"/>
      <c r="AO288" s="31"/>
      <c r="AP288" s="31"/>
      <c r="BA288" s="32"/>
      <c r="BB288" s="32"/>
    </row>
    <row r="289" spans="20:54" ht="12.75" x14ac:dyDescent="0.2">
      <c r="T289" s="29"/>
      <c r="U289" s="29"/>
      <c r="AD289" s="30"/>
      <c r="AE289" s="30"/>
      <c r="AO289" s="31"/>
      <c r="AP289" s="31"/>
      <c r="BA289" s="32"/>
      <c r="BB289" s="32"/>
    </row>
    <row r="290" spans="20:54" ht="12.75" x14ac:dyDescent="0.2">
      <c r="T290" s="29"/>
      <c r="U290" s="29"/>
      <c r="AD290" s="30"/>
      <c r="AE290" s="30"/>
      <c r="AO290" s="31"/>
      <c r="AP290" s="31"/>
      <c r="BA290" s="32"/>
      <c r="BB290" s="32"/>
    </row>
    <row r="291" spans="20:54" ht="12.75" x14ac:dyDescent="0.2">
      <c r="T291" s="29"/>
      <c r="U291" s="29"/>
      <c r="AD291" s="30"/>
      <c r="AE291" s="30"/>
      <c r="AO291" s="31"/>
      <c r="AP291" s="31"/>
      <c r="BA291" s="32"/>
      <c r="BB291" s="32"/>
    </row>
    <row r="292" spans="20:54" ht="12.75" x14ac:dyDescent="0.2">
      <c r="T292" s="29"/>
      <c r="U292" s="29"/>
      <c r="AD292" s="30"/>
      <c r="AE292" s="30"/>
      <c r="AO292" s="31"/>
      <c r="AP292" s="31"/>
      <c r="BA292" s="32"/>
      <c r="BB292" s="32"/>
    </row>
    <row r="293" spans="20:54" ht="12.75" x14ac:dyDescent="0.2">
      <c r="T293" s="29"/>
      <c r="U293" s="29"/>
      <c r="AD293" s="30"/>
      <c r="AE293" s="30"/>
      <c r="AO293" s="31"/>
      <c r="AP293" s="31"/>
      <c r="BA293" s="32"/>
      <c r="BB293" s="32"/>
    </row>
    <row r="294" spans="20:54" ht="12.75" x14ac:dyDescent="0.2">
      <c r="T294" s="29"/>
      <c r="U294" s="29"/>
      <c r="AD294" s="30"/>
      <c r="AE294" s="30"/>
      <c r="AO294" s="31"/>
      <c r="AP294" s="31"/>
      <c r="BA294" s="32"/>
      <c r="BB294" s="32"/>
    </row>
    <row r="295" spans="20:54" ht="12.75" x14ac:dyDescent="0.2">
      <c r="T295" s="29"/>
      <c r="U295" s="29"/>
      <c r="AD295" s="30"/>
      <c r="AE295" s="30"/>
      <c r="AO295" s="31"/>
      <c r="AP295" s="31"/>
      <c r="BA295" s="32"/>
      <c r="BB295" s="32"/>
    </row>
    <row r="296" spans="20:54" ht="12.75" x14ac:dyDescent="0.2">
      <c r="T296" s="29"/>
      <c r="U296" s="29"/>
      <c r="AD296" s="30"/>
      <c r="AE296" s="30"/>
      <c r="AO296" s="31"/>
      <c r="AP296" s="31"/>
      <c r="BA296" s="32"/>
      <c r="BB296" s="32"/>
    </row>
    <row r="297" spans="20:54" ht="12.75" x14ac:dyDescent="0.2">
      <c r="T297" s="29"/>
      <c r="U297" s="29"/>
      <c r="AD297" s="30"/>
      <c r="AE297" s="30"/>
      <c r="AO297" s="31"/>
      <c r="AP297" s="31"/>
      <c r="BA297" s="32"/>
      <c r="BB297" s="32"/>
    </row>
    <row r="298" spans="20:54" ht="12.75" x14ac:dyDescent="0.2">
      <c r="T298" s="29"/>
      <c r="U298" s="29"/>
      <c r="AD298" s="30"/>
      <c r="AE298" s="30"/>
      <c r="AO298" s="31"/>
      <c r="AP298" s="31"/>
      <c r="BA298" s="32"/>
      <c r="BB298" s="32"/>
    </row>
    <row r="299" spans="20:54" ht="12.75" x14ac:dyDescent="0.2">
      <c r="T299" s="29"/>
      <c r="U299" s="29"/>
      <c r="AD299" s="30"/>
      <c r="AE299" s="30"/>
      <c r="AO299" s="31"/>
      <c r="AP299" s="31"/>
      <c r="BA299" s="32"/>
      <c r="BB299" s="32"/>
    </row>
    <row r="300" spans="20:54" ht="12.75" x14ac:dyDescent="0.2">
      <c r="T300" s="29"/>
      <c r="U300" s="29"/>
      <c r="AD300" s="30"/>
      <c r="AE300" s="30"/>
      <c r="AO300" s="31"/>
      <c r="AP300" s="31"/>
      <c r="BA300" s="32"/>
      <c r="BB300" s="32"/>
    </row>
    <row r="301" spans="20:54" ht="12.75" x14ac:dyDescent="0.2">
      <c r="T301" s="29"/>
      <c r="U301" s="29"/>
      <c r="AD301" s="30"/>
      <c r="AE301" s="30"/>
      <c r="AO301" s="31"/>
      <c r="AP301" s="31"/>
      <c r="BA301" s="32"/>
      <c r="BB301" s="32"/>
    </row>
    <row r="302" spans="20:54" ht="12.75" x14ac:dyDescent="0.2">
      <c r="T302" s="29"/>
      <c r="U302" s="29"/>
      <c r="AD302" s="30"/>
      <c r="AE302" s="30"/>
      <c r="AO302" s="31"/>
      <c r="AP302" s="31"/>
      <c r="BA302" s="32"/>
      <c r="BB302" s="32"/>
    </row>
    <row r="303" spans="20:54" ht="12.75" x14ac:dyDescent="0.2">
      <c r="T303" s="29"/>
      <c r="U303" s="29"/>
      <c r="AD303" s="30"/>
      <c r="AE303" s="30"/>
      <c r="AO303" s="31"/>
      <c r="AP303" s="31"/>
      <c r="BA303" s="32"/>
      <c r="BB303" s="32"/>
    </row>
    <row r="304" spans="20:54" ht="12.75" x14ac:dyDescent="0.2">
      <c r="T304" s="29"/>
      <c r="U304" s="29"/>
      <c r="AD304" s="30"/>
      <c r="AE304" s="30"/>
      <c r="AO304" s="31"/>
      <c r="AP304" s="31"/>
      <c r="BA304" s="32"/>
      <c r="BB304" s="32"/>
    </row>
    <row r="305" spans="20:54" ht="12.75" x14ac:dyDescent="0.2">
      <c r="T305" s="29"/>
      <c r="U305" s="29"/>
      <c r="AD305" s="30"/>
      <c r="AE305" s="30"/>
      <c r="AO305" s="31"/>
      <c r="AP305" s="31"/>
      <c r="BA305" s="32"/>
      <c r="BB305" s="32"/>
    </row>
    <row r="306" spans="20:54" ht="12.75" x14ac:dyDescent="0.2">
      <c r="T306" s="29"/>
      <c r="U306" s="29"/>
      <c r="AD306" s="30"/>
      <c r="AE306" s="30"/>
      <c r="AO306" s="31"/>
      <c r="AP306" s="31"/>
      <c r="BA306" s="32"/>
      <c r="BB306" s="32"/>
    </row>
    <row r="307" spans="20:54" ht="12.75" x14ac:dyDescent="0.2">
      <c r="T307" s="29"/>
      <c r="U307" s="29"/>
      <c r="AD307" s="30"/>
      <c r="AE307" s="30"/>
      <c r="AO307" s="31"/>
      <c r="AP307" s="31"/>
      <c r="BA307" s="32"/>
      <c r="BB307" s="32"/>
    </row>
    <row r="308" spans="20:54" ht="12.75" x14ac:dyDescent="0.2">
      <c r="T308" s="29"/>
      <c r="U308" s="29"/>
      <c r="AD308" s="30"/>
      <c r="AE308" s="30"/>
      <c r="AO308" s="31"/>
      <c r="AP308" s="31"/>
      <c r="BA308" s="32"/>
      <c r="BB308" s="32"/>
    </row>
    <row r="309" spans="20:54" ht="12.75" x14ac:dyDescent="0.2">
      <c r="T309" s="29"/>
      <c r="U309" s="29"/>
      <c r="AD309" s="30"/>
      <c r="AE309" s="30"/>
      <c r="AO309" s="31"/>
      <c r="AP309" s="31"/>
      <c r="BA309" s="32"/>
      <c r="BB309" s="32"/>
    </row>
    <row r="310" spans="20:54" ht="12.75" x14ac:dyDescent="0.2">
      <c r="T310" s="29"/>
      <c r="U310" s="29"/>
      <c r="AD310" s="30"/>
      <c r="AE310" s="30"/>
      <c r="AO310" s="31"/>
      <c r="AP310" s="31"/>
      <c r="BA310" s="32"/>
      <c r="BB310" s="32"/>
    </row>
    <row r="311" spans="20:54" ht="12.75" x14ac:dyDescent="0.2">
      <c r="T311" s="29"/>
      <c r="U311" s="29"/>
      <c r="AD311" s="30"/>
      <c r="AE311" s="30"/>
      <c r="AO311" s="31"/>
      <c r="AP311" s="31"/>
      <c r="BA311" s="32"/>
      <c r="BB311" s="32"/>
    </row>
    <row r="312" spans="20:54" ht="12.75" x14ac:dyDescent="0.2">
      <c r="T312" s="29"/>
      <c r="U312" s="29"/>
      <c r="AD312" s="30"/>
      <c r="AE312" s="30"/>
      <c r="AO312" s="31"/>
      <c r="AP312" s="31"/>
      <c r="BA312" s="32"/>
      <c r="BB312" s="32"/>
    </row>
    <row r="313" spans="20:54" ht="12.75" x14ac:dyDescent="0.2">
      <c r="T313" s="29"/>
      <c r="U313" s="29"/>
      <c r="AD313" s="30"/>
      <c r="AE313" s="30"/>
      <c r="AO313" s="31"/>
      <c r="AP313" s="31"/>
      <c r="BA313" s="32"/>
      <c r="BB313" s="32"/>
    </row>
    <row r="314" spans="20:54" ht="12.75" x14ac:dyDescent="0.2">
      <c r="T314" s="29"/>
      <c r="U314" s="29"/>
      <c r="AD314" s="30"/>
      <c r="AE314" s="30"/>
      <c r="AO314" s="31"/>
      <c r="AP314" s="31"/>
      <c r="BA314" s="32"/>
      <c r="BB314" s="32"/>
    </row>
    <row r="315" spans="20:54" ht="12.75" x14ac:dyDescent="0.2">
      <c r="T315" s="29"/>
      <c r="U315" s="29"/>
      <c r="AD315" s="30"/>
      <c r="AE315" s="30"/>
      <c r="AO315" s="31"/>
      <c r="AP315" s="31"/>
      <c r="BA315" s="32"/>
      <c r="BB315" s="32"/>
    </row>
    <row r="316" spans="20:54" ht="12.75" x14ac:dyDescent="0.2">
      <c r="T316" s="29"/>
      <c r="U316" s="29"/>
      <c r="AD316" s="30"/>
      <c r="AE316" s="30"/>
      <c r="AO316" s="31"/>
      <c r="AP316" s="31"/>
      <c r="BA316" s="32"/>
      <c r="BB316" s="32"/>
    </row>
    <row r="317" spans="20:54" ht="12.75" x14ac:dyDescent="0.2">
      <c r="T317" s="29"/>
      <c r="U317" s="29"/>
      <c r="AD317" s="30"/>
      <c r="AE317" s="30"/>
      <c r="AO317" s="31"/>
      <c r="AP317" s="31"/>
      <c r="BA317" s="32"/>
      <c r="BB317" s="32"/>
    </row>
    <row r="318" spans="20:54" ht="12.75" x14ac:dyDescent="0.2">
      <c r="T318" s="29"/>
      <c r="U318" s="29"/>
      <c r="AD318" s="30"/>
      <c r="AE318" s="30"/>
      <c r="AO318" s="31"/>
      <c r="AP318" s="31"/>
      <c r="BA318" s="32"/>
      <c r="BB318" s="32"/>
    </row>
    <row r="319" spans="20:54" ht="12.75" x14ac:dyDescent="0.2">
      <c r="T319" s="29"/>
      <c r="U319" s="29"/>
      <c r="AD319" s="30"/>
      <c r="AE319" s="30"/>
      <c r="AO319" s="31"/>
      <c r="AP319" s="31"/>
      <c r="BA319" s="32"/>
      <c r="BB319" s="32"/>
    </row>
    <row r="320" spans="20:54" ht="12.75" x14ac:dyDescent="0.2">
      <c r="T320" s="29"/>
      <c r="U320" s="29"/>
      <c r="AD320" s="30"/>
      <c r="AE320" s="30"/>
      <c r="AO320" s="31"/>
      <c r="AP320" s="31"/>
      <c r="BA320" s="32"/>
      <c r="BB320" s="32"/>
    </row>
    <row r="321" spans="20:54" ht="12.75" x14ac:dyDescent="0.2">
      <c r="T321" s="29"/>
      <c r="U321" s="29"/>
      <c r="AD321" s="30"/>
      <c r="AE321" s="30"/>
      <c r="AO321" s="31"/>
      <c r="AP321" s="31"/>
      <c r="BA321" s="32"/>
      <c r="BB321" s="32"/>
    </row>
    <row r="322" spans="20:54" ht="12.75" x14ac:dyDescent="0.2">
      <c r="T322" s="29"/>
      <c r="U322" s="29"/>
      <c r="AD322" s="30"/>
      <c r="AE322" s="30"/>
      <c r="AO322" s="31"/>
      <c r="AP322" s="31"/>
      <c r="BA322" s="32"/>
      <c r="BB322" s="32"/>
    </row>
    <row r="323" spans="20:54" ht="12.75" x14ac:dyDescent="0.2">
      <c r="T323" s="29"/>
      <c r="U323" s="29"/>
      <c r="AD323" s="30"/>
      <c r="AE323" s="30"/>
      <c r="AO323" s="31"/>
      <c r="AP323" s="31"/>
      <c r="BA323" s="32"/>
      <c r="BB323" s="32"/>
    </row>
    <row r="324" spans="20:54" ht="12.75" x14ac:dyDescent="0.2">
      <c r="T324" s="29"/>
      <c r="U324" s="29"/>
      <c r="AD324" s="30"/>
      <c r="AE324" s="30"/>
      <c r="AO324" s="31"/>
      <c r="AP324" s="31"/>
      <c r="BA324" s="32"/>
      <c r="BB324" s="32"/>
    </row>
    <row r="325" spans="20:54" ht="12.75" x14ac:dyDescent="0.2">
      <c r="T325" s="29"/>
      <c r="U325" s="29"/>
      <c r="AD325" s="30"/>
      <c r="AE325" s="30"/>
      <c r="AO325" s="31"/>
      <c r="AP325" s="31"/>
      <c r="BA325" s="32"/>
      <c r="BB325" s="32"/>
    </row>
    <row r="326" spans="20:54" ht="12.75" x14ac:dyDescent="0.2">
      <c r="T326" s="29"/>
      <c r="U326" s="29"/>
      <c r="AD326" s="30"/>
      <c r="AE326" s="30"/>
      <c r="AO326" s="31"/>
      <c r="AP326" s="31"/>
      <c r="BA326" s="32"/>
      <c r="BB326" s="32"/>
    </row>
    <row r="327" spans="20:54" ht="12.75" x14ac:dyDescent="0.2">
      <c r="T327" s="29"/>
      <c r="U327" s="29"/>
      <c r="AD327" s="30"/>
      <c r="AE327" s="30"/>
      <c r="AO327" s="31"/>
      <c r="AP327" s="31"/>
      <c r="BA327" s="32"/>
      <c r="BB327" s="32"/>
    </row>
    <row r="328" spans="20:54" ht="12.75" x14ac:dyDescent="0.2">
      <c r="T328" s="29"/>
      <c r="U328" s="29"/>
      <c r="AD328" s="30"/>
      <c r="AE328" s="30"/>
      <c r="AO328" s="31"/>
      <c r="AP328" s="31"/>
      <c r="BA328" s="32"/>
      <c r="BB328" s="32"/>
    </row>
    <row r="329" spans="20:54" ht="12.75" x14ac:dyDescent="0.2">
      <c r="T329" s="29"/>
      <c r="U329" s="29"/>
      <c r="AD329" s="30"/>
      <c r="AE329" s="30"/>
      <c r="AO329" s="31"/>
      <c r="AP329" s="31"/>
      <c r="BA329" s="32"/>
      <c r="BB329" s="32"/>
    </row>
    <row r="330" spans="20:54" ht="12.75" x14ac:dyDescent="0.2">
      <c r="T330" s="29"/>
      <c r="U330" s="29"/>
      <c r="AD330" s="30"/>
      <c r="AE330" s="30"/>
      <c r="AO330" s="31"/>
      <c r="AP330" s="31"/>
      <c r="BA330" s="32"/>
      <c r="BB330" s="32"/>
    </row>
    <row r="331" spans="20:54" ht="12.75" x14ac:dyDescent="0.2">
      <c r="T331" s="29"/>
      <c r="U331" s="29"/>
      <c r="AD331" s="30"/>
      <c r="AE331" s="30"/>
      <c r="AO331" s="31"/>
      <c r="AP331" s="31"/>
      <c r="BA331" s="32"/>
      <c r="BB331" s="32"/>
    </row>
    <row r="332" spans="20:54" ht="12.75" x14ac:dyDescent="0.2">
      <c r="T332" s="29"/>
      <c r="U332" s="29"/>
      <c r="AD332" s="30"/>
      <c r="AE332" s="30"/>
      <c r="AO332" s="31"/>
      <c r="AP332" s="31"/>
      <c r="BA332" s="32"/>
      <c r="BB332" s="32"/>
    </row>
    <row r="333" spans="20:54" ht="12.75" x14ac:dyDescent="0.2">
      <c r="T333" s="29"/>
      <c r="U333" s="29"/>
      <c r="AD333" s="30"/>
      <c r="AE333" s="30"/>
      <c r="AO333" s="31"/>
      <c r="AP333" s="31"/>
      <c r="BA333" s="32"/>
      <c r="BB333" s="32"/>
    </row>
    <row r="334" spans="20:54" ht="12.75" x14ac:dyDescent="0.2">
      <c r="T334" s="29"/>
      <c r="U334" s="29"/>
      <c r="AD334" s="30"/>
      <c r="AE334" s="30"/>
      <c r="AO334" s="31"/>
      <c r="AP334" s="31"/>
      <c r="BA334" s="32"/>
      <c r="BB334" s="32"/>
    </row>
    <row r="335" spans="20:54" ht="12.75" x14ac:dyDescent="0.2">
      <c r="T335" s="29"/>
      <c r="U335" s="29"/>
      <c r="AD335" s="30"/>
      <c r="AE335" s="30"/>
      <c r="AO335" s="31"/>
      <c r="AP335" s="31"/>
      <c r="BA335" s="32"/>
      <c r="BB335" s="32"/>
    </row>
    <row r="336" spans="20:54" ht="12.75" x14ac:dyDescent="0.2">
      <c r="T336" s="29"/>
      <c r="U336" s="29"/>
      <c r="AD336" s="30"/>
      <c r="AE336" s="30"/>
      <c r="AO336" s="31"/>
      <c r="AP336" s="31"/>
      <c r="BA336" s="32"/>
      <c r="BB336" s="32"/>
    </row>
    <row r="337" spans="20:54" ht="12.75" x14ac:dyDescent="0.2">
      <c r="T337" s="29"/>
      <c r="U337" s="29"/>
      <c r="AD337" s="30"/>
      <c r="AE337" s="30"/>
      <c r="AO337" s="31"/>
      <c r="AP337" s="31"/>
      <c r="BA337" s="32"/>
      <c r="BB337" s="32"/>
    </row>
    <row r="338" spans="20:54" ht="12.75" x14ac:dyDescent="0.2">
      <c r="T338" s="29"/>
      <c r="U338" s="29"/>
      <c r="AD338" s="30"/>
      <c r="AE338" s="30"/>
      <c r="AO338" s="31"/>
      <c r="AP338" s="31"/>
      <c r="BA338" s="32"/>
      <c r="BB338" s="32"/>
    </row>
    <row r="339" spans="20:54" ht="12.75" x14ac:dyDescent="0.2">
      <c r="T339" s="29"/>
      <c r="U339" s="29"/>
      <c r="AD339" s="30"/>
      <c r="AE339" s="30"/>
      <c r="AO339" s="31"/>
      <c r="AP339" s="31"/>
      <c r="BA339" s="32"/>
      <c r="BB339" s="32"/>
    </row>
    <row r="340" spans="20:54" ht="12.75" x14ac:dyDescent="0.2">
      <c r="T340" s="29"/>
      <c r="U340" s="29"/>
      <c r="AD340" s="30"/>
      <c r="AE340" s="30"/>
      <c r="AO340" s="31"/>
      <c r="AP340" s="31"/>
      <c r="BA340" s="32"/>
      <c r="BB340" s="32"/>
    </row>
    <row r="341" spans="20:54" ht="12.75" x14ac:dyDescent="0.2">
      <c r="T341" s="29"/>
      <c r="U341" s="29"/>
      <c r="AD341" s="30"/>
      <c r="AE341" s="30"/>
      <c r="AO341" s="31"/>
      <c r="AP341" s="31"/>
      <c r="BA341" s="32"/>
      <c r="BB341" s="32"/>
    </row>
    <row r="342" spans="20:54" ht="12.75" x14ac:dyDescent="0.2">
      <c r="T342" s="29"/>
      <c r="U342" s="29"/>
      <c r="AD342" s="30"/>
      <c r="AE342" s="30"/>
      <c r="AO342" s="31"/>
      <c r="AP342" s="31"/>
      <c r="BA342" s="32"/>
      <c r="BB342" s="32"/>
    </row>
    <row r="343" spans="20:54" ht="12.75" x14ac:dyDescent="0.2">
      <c r="T343" s="29"/>
      <c r="U343" s="29"/>
      <c r="AD343" s="30"/>
      <c r="AE343" s="30"/>
      <c r="AO343" s="31"/>
      <c r="AP343" s="31"/>
      <c r="BA343" s="32"/>
      <c r="BB343" s="32"/>
    </row>
    <row r="344" spans="20:54" ht="12.75" x14ac:dyDescent="0.2">
      <c r="T344" s="29"/>
      <c r="U344" s="29"/>
      <c r="AD344" s="30"/>
      <c r="AE344" s="30"/>
      <c r="AO344" s="31"/>
      <c r="AP344" s="31"/>
      <c r="BA344" s="32"/>
      <c r="BB344" s="32"/>
    </row>
    <row r="345" spans="20:54" ht="12.75" x14ac:dyDescent="0.2">
      <c r="T345" s="29"/>
      <c r="U345" s="29"/>
      <c r="AD345" s="30"/>
      <c r="AE345" s="30"/>
      <c r="AO345" s="31"/>
      <c r="AP345" s="31"/>
      <c r="BA345" s="32"/>
      <c r="BB345" s="32"/>
    </row>
    <row r="346" spans="20:54" ht="12.75" x14ac:dyDescent="0.2">
      <c r="T346" s="29"/>
      <c r="U346" s="29"/>
      <c r="AD346" s="30"/>
      <c r="AE346" s="30"/>
      <c r="AO346" s="31"/>
      <c r="AP346" s="31"/>
      <c r="BA346" s="32"/>
      <c r="BB346" s="32"/>
    </row>
    <row r="347" spans="20:54" ht="12.75" x14ac:dyDescent="0.2">
      <c r="T347" s="29"/>
      <c r="U347" s="29"/>
      <c r="AD347" s="30"/>
      <c r="AE347" s="30"/>
      <c r="AO347" s="31"/>
      <c r="AP347" s="31"/>
      <c r="BA347" s="32"/>
      <c r="BB347" s="32"/>
    </row>
    <row r="348" spans="20:54" ht="12.75" x14ac:dyDescent="0.2">
      <c r="T348" s="29"/>
      <c r="U348" s="29"/>
      <c r="AD348" s="30"/>
      <c r="AE348" s="30"/>
      <c r="AO348" s="31"/>
      <c r="AP348" s="31"/>
      <c r="BA348" s="32"/>
      <c r="BB348" s="32"/>
    </row>
    <row r="349" spans="20:54" ht="12.75" x14ac:dyDescent="0.2">
      <c r="T349" s="29"/>
      <c r="U349" s="29"/>
      <c r="AD349" s="30"/>
      <c r="AE349" s="30"/>
      <c r="AO349" s="31"/>
      <c r="AP349" s="31"/>
      <c r="BA349" s="32"/>
      <c r="BB349" s="32"/>
    </row>
    <row r="350" spans="20:54" ht="12.75" x14ac:dyDescent="0.2">
      <c r="T350" s="29"/>
      <c r="U350" s="29"/>
      <c r="AD350" s="30"/>
      <c r="AE350" s="30"/>
      <c r="AO350" s="31"/>
      <c r="AP350" s="31"/>
      <c r="BA350" s="32"/>
      <c r="BB350" s="32"/>
    </row>
    <row r="351" spans="20:54" ht="12.75" x14ac:dyDescent="0.2">
      <c r="T351" s="29"/>
      <c r="U351" s="29"/>
      <c r="AD351" s="30"/>
      <c r="AE351" s="30"/>
      <c r="AO351" s="31"/>
      <c r="AP351" s="31"/>
      <c r="BA351" s="32"/>
      <c r="BB351" s="32"/>
    </row>
    <row r="352" spans="20:54" ht="12.75" x14ac:dyDescent="0.2">
      <c r="T352" s="29"/>
      <c r="U352" s="29"/>
      <c r="AD352" s="30"/>
      <c r="AE352" s="30"/>
      <c r="AO352" s="31"/>
      <c r="AP352" s="31"/>
      <c r="BA352" s="32"/>
      <c r="BB352" s="32"/>
    </row>
    <row r="353" spans="20:54" ht="12.75" x14ac:dyDescent="0.2">
      <c r="T353" s="29"/>
      <c r="U353" s="29"/>
      <c r="AD353" s="30"/>
      <c r="AE353" s="30"/>
      <c r="AO353" s="31"/>
      <c r="AP353" s="31"/>
      <c r="BA353" s="32"/>
      <c r="BB353" s="32"/>
    </row>
    <row r="354" spans="20:54" ht="12.75" x14ac:dyDescent="0.2">
      <c r="T354" s="29"/>
      <c r="U354" s="29"/>
      <c r="AD354" s="30"/>
      <c r="AE354" s="30"/>
      <c r="AO354" s="31"/>
      <c r="AP354" s="31"/>
      <c r="BA354" s="32"/>
      <c r="BB354" s="32"/>
    </row>
    <row r="355" spans="20:54" ht="12.75" x14ac:dyDescent="0.2">
      <c r="T355" s="29"/>
      <c r="U355" s="29"/>
      <c r="AD355" s="30"/>
      <c r="AE355" s="30"/>
      <c r="AO355" s="31"/>
      <c r="AP355" s="31"/>
      <c r="BA355" s="32"/>
      <c r="BB355" s="32"/>
    </row>
    <row r="356" spans="20:54" ht="12.75" x14ac:dyDescent="0.2">
      <c r="T356" s="29"/>
      <c r="U356" s="29"/>
      <c r="AD356" s="30"/>
      <c r="AE356" s="30"/>
      <c r="AO356" s="31"/>
      <c r="AP356" s="31"/>
      <c r="BA356" s="32"/>
      <c r="BB356" s="32"/>
    </row>
    <row r="357" spans="20:54" ht="12.75" x14ac:dyDescent="0.2">
      <c r="T357" s="29"/>
      <c r="U357" s="29"/>
      <c r="AD357" s="30"/>
      <c r="AE357" s="30"/>
      <c r="AO357" s="31"/>
      <c r="AP357" s="31"/>
      <c r="BA357" s="32"/>
      <c r="BB357" s="32"/>
    </row>
    <row r="358" spans="20:54" ht="12.75" x14ac:dyDescent="0.2">
      <c r="T358" s="29"/>
      <c r="U358" s="29"/>
      <c r="AD358" s="30"/>
      <c r="AE358" s="30"/>
      <c r="AO358" s="31"/>
      <c r="AP358" s="31"/>
      <c r="BA358" s="32"/>
      <c r="BB358" s="32"/>
    </row>
    <row r="359" spans="20:54" ht="12.75" x14ac:dyDescent="0.2">
      <c r="T359" s="29"/>
      <c r="U359" s="29"/>
      <c r="AD359" s="30"/>
      <c r="AE359" s="30"/>
      <c r="AO359" s="31"/>
      <c r="AP359" s="31"/>
      <c r="BA359" s="32"/>
      <c r="BB359" s="32"/>
    </row>
    <row r="360" spans="20:54" ht="12.75" x14ac:dyDescent="0.2">
      <c r="T360" s="29"/>
      <c r="U360" s="29"/>
      <c r="AD360" s="30"/>
      <c r="AE360" s="30"/>
      <c r="AO360" s="31"/>
      <c r="AP360" s="31"/>
      <c r="BA360" s="32"/>
      <c r="BB360" s="32"/>
    </row>
    <row r="361" spans="20:54" ht="12.75" x14ac:dyDescent="0.2">
      <c r="T361" s="29"/>
      <c r="U361" s="29"/>
      <c r="AD361" s="30"/>
      <c r="AE361" s="30"/>
      <c r="AO361" s="31"/>
      <c r="AP361" s="31"/>
      <c r="BA361" s="32"/>
      <c r="BB361" s="32"/>
    </row>
    <row r="362" spans="20:54" ht="12.75" x14ac:dyDescent="0.2">
      <c r="T362" s="29"/>
      <c r="U362" s="29"/>
      <c r="AD362" s="30"/>
      <c r="AE362" s="30"/>
      <c r="AO362" s="31"/>
      <c r="AP362" s="31"/>
      <c r="BA362" s="32"/>
      <c r="BB362" s="32"/>
    </row>
    <row r="363" spans="20:54" ht="12.75" x14ac:dyDescent="0.2">
      <c r="T363" s="29"/>
      <c r="U363" s="29"/>
      <c r="AD363" s="30"/>
      <c r="AE363" s="30"/>
      <c r="AO363" s="31"/>
      <c r="AP363" s="31"/>
      <c r="BA363" s="32"/>
      <c r="BB363" s="32"/>
    </row>
    <row r="364" spans="20:54" ht="12.75" x14ac:dyDescent="0.2">
      <c r="T364" s="29"/>
      <c r="U364" s="29"/>
      <c r="AD364" s="30"/>
      <c r="AE364" s="30"/>
      <c r="AO364" s="31"/>
      <c r="AP364" s="31"/>
      <c r="BA364" s="32"/>
      <c r="BB364" s="32"/>
    </row>
    <row r="365" spans="20:54" ht="12.75" x14ac:dyDescent="0.2">
      <c r="T365" s="29"/>
      <c r="U365" s="29"/>
      <c r="AD365" s="30"/>
      <c r="AE365" s="30"/>
      <c r="AO365" s="31"/>
      <c r="AP365" s="31"/>
      <c r="BA365" s="32"/>
      <c r="BB365" s="32"/>
    </row>
    <row r="366" spans="20:54" ht="12.75" x14ac:dyDescent="0.2">
      <c r="T366" s="29"/>
      <c r="U366" s="29"/>
      <c r="AD366" s="30"/>
      <c r="AE366" s="30"/>
      <c r="AO366" s="31"/>
      <c r="AP366" s="31"/>
      <c r="BA366" s="32"/>
      <c r="BB366" s="32"/>
    </row>
    <row r="367" spans="20:54" ht="12.75" x14ac:dyDescent="0.2">
      <c r="T367" s="29"/>
      <c r="U367" s="29"/>
      <c r="AD367" s="30"/>
      <c r="AE367" s="30"/>
      <c r="AO367" s="31"/>
      <c r="AP367" s="31"/>
      <c r="BA367" s="32"/>
      <c r="BB367" s="32"/>
    </row>
    <row r="368" spans="20:54" ht="12.75" x14ac:dyDescent="0.2">
      <c r="T368" s="29"/>
      <c r="U368" s="29"/>
      <c r="AD368" s="30"/>
      <c r="AE368" s="30"/>
      <c r="AO368" s="31"/>
      <c r="AP368" s="31"/>
      <c r="BA368" s="32"/>
      <c r="BB368" s="32"/>
    </row>
    <row r="369" spans="20:54" ht="12.75" x14ac:dyDescent="0.2">
      <c r="T369" s="29"/>
      <c r="U369" s="29"/>
      <c r="AD369" s="30"/>
      <c r="AE369" s="30"/>
      <c r="AO369" s="31"/>
      <c r="AP369" s="31"/>
      <c r="BA369" s="32"/>
      <c r="BB369" s="32"/>
    </row>
    <row r="370" spans="20:54" ht="12.75" x14ac:dyDescent="0.2">
      <c r="T370" s="29"/>
      <c r="U370" s="29"/>
      <c r="AD370" s="30"/>
      <c r="AE370" s="30"/>
      <c r="AO370" s="31"/>
      <c r="AP370" s="31"/>
      <c r="BA370" s="32"/>
      <c r="BB370" s="32"/>
    </row>
    <row r="371" spans="20:54" ht="12.75" x14ac:dyDescent="0.2">
      <c r="T371" s="29"/>
      <c r="U371" s="29"/>
      <c r="AD371" s="30"/>
      <c r="AE371" s="30"/>
      <c r="AO371" s="31"/>
      <c r="AP371" s="31"/>
      <c r="BA371" s="32"/>
      <c r="BB371" s="32"/>
    </row>
    <row r="372" spans="20:54" ht="12.75" x14ac:dyDescent="0.2">
      <c r="T372" s="29"/>
      <c r="U372" s="29"/>
      <c r="AD372" s="30"/>
      <c r="AE372" s="30"/>
      <c r="AO372" s="31"/>
      <c r="AP372" s="31"/>
      <c r="BA372" s="32"/>
      <c r="BB372" s="32"/>
    </row>
    <row r="373" spans="20:54" ht="12.75" x14ac:dyDescent="0.2">
      <c r="T373" s="29"/>
      <c r="U373" s="29"/>
      <c r="AD373" s="30"/>
      <c r="AE373" s="30"/>
      <c r="AO373" s="31"/>
      <c r="AP373" s="31"/>
      <c r="BA373" s="32"/>
      <c r="BB373" s="32"/>
    </row>
    <row r="374" spans="20:54" ht="12.75" x14ac:dyDescent="0.2">
      <c r="T374" s="29"/>
      <c r="U374" s="29"/>
      <c r="AD374" s="30"/>
      <c r="AE374" s="30"/>
      <c r="AO374" s="31"/>
      <c r="AP374" s="31"/>
      <c r="BA374" s="32"/>
      <c r="BB374" s="32"/>
    </row>
    <row r="375" spans="20:54" ht="12.75" x14ac:dyDescent="0.2">
      <c r="T375" s="29"/>
      <c r="U375" s="29"/>
      <c r="AD375" s="30"/>
      <c r="AE375" s="30"/>
      <c r="AO375" s="31"/>
      <c r="AP375" s="31"/>
      <c r="BA375" s="32"/>
      <c r="BB375" s="32"/>
    </row>
    <row r="376" spans="20:54" ht="12.75" x14ac:dyDescent="0.2">
      <c r="T376" s="29"/>
      <c r="U376" s="29"/>
      <c r="AD376" s="30"/>
      <c r="AE376" s="30"/>
      <c r="AO376" s="31"/>
      <c r="AP376" s="31"/>
      <c r="BA376" s="32"/>
      <c r="BB376" s="32"/>
    </row>
    <row r="377" spans="20:54" ht="12.75" x14ac:dyDescent="0.2">
      <c r="T377" s="29"/>
      <c r="U377" s="29"/>
      <c r="AD377" s="30"/>
      <c r="AE377" s="30"/>
      <c r="AO377" s="31"/>
      <c r="AP377" s="31"/>
      <c r="BA377" s="32"/>
      <c r="BB377" s="32"/>
    </row>
    <row r="378" spans="20:54" ht="12.75" x14ac:dyDescent="0.2">
      <c r="T378" s="29"/>
      <c r="U378" s="29"/>
      <c r="AD378" s="30"/>
      <c r="AE378" s="30"/>
      <c r="AO378" s="31"/>
      <c r="AP378" s="31"/>
      <c r="BA378" s="32"/>
      <c r="BB378" s="32"/>
    </row>
    <row r="379" spans="20:54" ht="12.75" x14ac:dyDescent="0.2">
      <c r="T379" s="29"/>
      <c r="U379" s="29"/>
      <c r="AD379" s="30"/>
      <c r="AE379" s="30"/>
      <c r="AO379" s="31"/>
      <c r="AP379" s="31"/>
      <c r="BA379" s="32"/>
      <c r="BB379" s="32"/>
    </row>
    <row r="380" spans="20:54" ht="12.75" x14ac:dyDescent="0.2">
      <c r="T380" s="29"/>
      <c r="U380" s="29"/>
      <c r="AD380" s="30"/>
      <c r="AE380" s="30"/>
      <c r="AO380" s="31"/>
      <c r="AP380" s="31"/>
      <c r="BA380" s="32"/>
      <c r="BB380" s="32"/>
    </row>
    <row r="381" spans="20:54" ht="12.75" x14ac:dyDescent="0.2">
      <c r="T381" s="29"/>
      <c r="U381" s="29"/>
      <c r="AD381" s="30"/>
      <c r="AE381" s="30"/>
      <c r="AO381" s="31"/>
      <c r="AP381" s="31"/>
      <c r="BA381" s="32"/>
      <c r="BB381" s="32"/>
    </row>
    <row r="382" spans="20:54" ht="12.75" x14ac:dyDescent="0.2">
      <c r="T382" s="29"/>
      <c r="U382" s="29"/>
      <c r="AD382" s="30"/>
      <c r="AE382" s="30"/>
      <c r="AO382" s="31"/>
      <c r="AP382" s="31"/>
      <c r="BA382" s="32"/>
      <c r="BB382" s="32"/>
    </row>
    <row r="383" spans="20:54" ht="12.75" x14ac:dyDescent="0.2">
      <c r="T383" s="29"/>
      <c r="U383" s="29"/>
      <c r="AD383" s="30"/>
      <c r="AE383" s="30"/>
      <c r="AO383" s="31"/>
      <c r="AP383" s="31"/>
      <c r="BA383" s="32"/>
      <c r="BB383" s="32"/>
    </row>
    <row r="384" spans="20:54" ht="12.75" x14ac:dyDescent="0.2">
      <c r="T384" s="29"/>
      <c r="U384" s="29"/>
      <c r="AD384" s="30"/>
      <c r="AE384" s="30"/>
      <c r="AO384" s="31"/>
      <c r="AP384" s="31"/>
      <c r="BA384" s="32"/>
      <c r="BB384" s="32"/>
    </row>
    <row r="385" spans="20:54" ht="12.75" x14ac:dyDescent="0.2">
      <c r="T385" s="29"/>
      <c r="U385" s="29"/>
      <c r="AD385" s="30"/>
      <c r="AE385" s="30"/>
      <c r="AO385" s="31"/>
      <c r="AP385" s="31"/>
      <c r="BA385" s="32"/>
      <c r="BB385" s="32"/>
    </row>
    <row r="386" spans="20:54" ht="12.75" x14ac:dyDescent="0.2">
      <c r="T386" s="29"/>
      <c r="U386" s="29"/>
      <c r="AD386" s="30"/>
      <c r="AE386" s="30"/>
      <c r="AO386" s="31"/>
      <c r="AP386" s="31"/>
      <c r="BA386" s="32"/>
      <c r="BB386" s="32"/>
    </row>
    <row r="387" spans="20:54" ht="12.75" x14ac:dyDescent="0.2">
      <c r="T387" s="29"/>
      <c r="U387" s="29"/>
      <c r="AD387" s="30"/>
      <c r="AE387" s="30"/>
      <c r="AO387" s="31"/>
      <c r="AP387" s="31"/>
      <c r="BA387" s="32"/>
      <c r="BB387" s="32"/>
    </row>
    <row r="388" spans="20:54" ht="12.75" x14ac:dyDescent="0.2">
      <c r="T388" s="29"/>
      <c r="U388" s="29"/>
      <c r="AD388" s="30"/>
      <c r="AE388" s="30"/>
      <c r="AO388" s="31"/>
      <c r="AP388" s="31"/>
      <c r="BA388" s="32"/>
      <c r="BB388" s="32"/>
    </row>
    <row r="389" spans="20:54" ht="12.75" x14ac:dyDescent="0.2">
      <c r="T389" s="29"/>
      <c r="U389" s="29"/>
      <c r="AD389" s="30"/>
      <c r="AE389" s="30"/>
      <c r="AO389" s="31"/>
      <c r="AP389" s="31"/>
      <c r="BA389" s="32"/>
      <c r="BB389" s="32"/>
    </row>
    <row r="390" spans="20:54" ht="12.75" x14ac:dyDescent="0.2">
      <c r="T390" s="29"/>
      <c r="U390" s="29"/>
      <c r="AD390" s="30"/>
      <c r="AE390" s="30"/>
      <c r="AO390" s="31"/>
      <c r="AP390" s="31"/>
      <c r="BA390" s="32"/>
      <c r="BB390" s="32"/>
    </row>
    <row r="391" spans="20:54" ht="12.75" x14ac:dyDescent="0.2">
      <c r="T391" s="29"/>
      <c r="U391" s="29"/>
      <c r="AD391" s="30"/>
      <c r="AE391" s="30"/>
      <c r="AO391" s="31"/>
      <c r="AP391" s="31"/>
      <c r="BA391" s="32"/>
      <c r="BB391" s="32"/>
    </row>
    <row r="392" spans="20:54" ht="12.75" x14ac:dyDescent="0.2">
      <c r="T392" s="29"/>
      <c r="U392" s="29"/>
      <c r="AD392" s="30"/>
      <c r="AE392" s="30"/>
      <c r="AO392" s="31"/>
      <c r="AP392" s="31"/>
      <c r="BA392" s="32"/>
      <c r="BB392" s="32"/>
    </row>
    <row r="393" spans="20:54" ht="12.75" x14ac:dyDescent="0.2">
      <c r="T393" s="29"/>
      <c r="U393" s="29"/>
      <c r="AD393" s="30"/>
      <c r="AE393" s="30"/>
      <c r="AO393" s="31"/>
      <c r="AP393" s="31"/>
      <c r="BA393" s="32"/>
      <c r="BB393" s="32"/>
    </row>
    <row r="394" spans="20:54" ht="12.75" x14ac:dyDescent="0.2">
      <c r="T394" s="29"/>
      <c r="U394" s="29"/>
      <c r="AD394" s="30"/>
      <c r="AE394" s="30"/>
      <c r="AO394" s="31"/>
      <c r="AP394" s="31"/>
      <c r="BA394" s="32"/>
      <c r="BB394" s="32"/>
    </row>
    <row r="395" spans="20:54" ht="12.75" x14ac:dyDescent="0.2">
      <c r="T395" s="29"/>
      <c r="U395" s="29"/>
      <c r="AD395" s="30"/>
      <c r="AE395" s="30"/>
      <c r="AO395" s="31"/>
      <c r="AP395" s="31"/>
      <c r="BA395" s="32"/>
      <c r="BB395" s="32"/>
    </row>
    <row r="396" spans="20:54" ht="12.75" x14ac:dyDescent="0.2">
      <c r="T396" s="29"/>
      <c r="U396" s="29"/>
      <c r="AD396" s="30"/>
      <c r="AE396" s="30"/>
      <c r="AO396" s="31"/>
      <c r="AP396" s="31"/>
      <c r="BA396" s="32"/>
      <c r="BB396" s="32"/>
    </row>
    <row r="397" spans="20:54" ht="12.75" x14ac:dyDescent="0.2">
      <c r="T397" s="29"/>
      <c r="U397" s="29"/>
      <c r="AD397" s="30"/>
      <c r="AE397" s="30"/>
      <c r="AO397" s="31"/>
      <c r="AP397" s="31"/>
      <c r="BA397" s="32"/>
      <c r="BB397" s="32"/>
    </row>
    <row r="398" spans="20:54" ht="12.75" x14ac:dyDescent="0.2">
      <c r="T398" s="29"/>
      <c r="U398" s="29"/>
      <c r="AD398" s="30"/>
      <c r="AE398" s="30"/>
      <c r="AO398" s="31"/>
      <c r="AP398" s="31"/>
      <c r="BA398" s="32"/>
      <c r="BB398" s="32"/>
    </row>
    <row r="399" spans="20:54" ht="12.75" x14ac:dyDescent="0.2">
      <c r="T399" s="29"/>
      <c r="U399" s="29"/>
      <c r="AD399" s="30"/>
      <c r="AE399" s="30"/>
      <c r="AO399" s="31"/>
      <c r="AP399" s="31"/>
      <c r="BA399" s="32"/>
      <c r="BB399" s="32"/>
    </row>
    <row r="400" spans="20:54" ht="12.75" x14ac:dyDescent="0.2">
      <c r="T400" s="29"/>
      <c r="U400" s="29"/>
      <c r="AD400" s="30"/>
      <c r="AE400" s="30"/>
      <c r="AO400" s="31"/>
      <c r="AP400" s="31"/>
      <c r="BA400" s="32"/>
      <c r="BB400" s="32"/>
    </row>
    <row r="401" spans="20:54" ht="12.75" x14ac:dyDescent="0.2">
      <c r="T401" s="29"/>
      <c r="U401" s="29"/>
      <c r="AD401" s="30"/>
      <c r="AE401" s="30"/>
      <c r="AO401" s="31"/>
      <c r="AP401" s="31"/>
      <c r="BA401" s="32"/>
      <c r="BB401" s="32"/>
    </row>
    <row r="402" spans="20:54" ht="12.75" x14ac:dyDescent="0.2">
      <c r="T402" s="29"/>
      <c r="U402" s="29"/>
      <c r="AD402" s="30"/>
      <c r="AE402" s="30"/>
      <c r="AO402" s="31"/>
      <c r="AP402" s="31"/>
      <c r="BA402" s="32"/>
      <c r="BB402" s="32"/>
    </row>
    <row r="403" spans="20:54" ht="12.75" x14ac:dyDescent="0.2">
      <c r="T403" s="29"/>
      <c r="U403" s="29"/>
      <c r="AD403" s="30"/>
      <c r="AE403" s="30"/>
      <c r="AO403" s="31"/>
      <c r="AP403" s="31"/>
      <c r="BA403" s="32"/>
      <c r="BB403" s="32"/>
    </row>
    <row r="404" spans="20:54" ht="12.75" x14ac:dyDescent="0.2">
      <c r="T404" s="29"/>
      <c r="U404" s="29"/>
      <c r="AD404" s="30"/>
      <c r="AE404" s="30"/>
      <c r="AO404" s="31"/>
      <c r="AP404" s="31"/>
      <c r="BA404" s="32"/>
      <c r="BB404" s="32"/>
    </row>
    <row r="405" spans="20:54" ht="12.75" x14ac:dyDescent="0.2">
      <c r="T405" s="29"/>
      <c r="U405" s="29"/>
      <c r="AD405" s="30"/>
      <c r="AE405" s="30"/>
      <c r="AO405" s="31"/>
      <c r="AP405" s="31"/>
      <c r="BA405" s="32"/>
      <c r="BB405" s="32"/>
    </row>
    <row r="406" spans="20:54" ht="12.75" x14ac:dyDescent="0.2">
      <c r="T406" s="29"/>
      <c r="U406" s="29"/>
      <c r="AD406" s="30"/>
      <c r="AE406" s="30"/>
      <c r="AO406" s="31"/>
      <c r="AP406" s="31"/>
      <c r="BA406" s="32"/>
      <c r="BB406" s="32"/>
    </row>
    <row r="407" spans="20:54" ht="12.75" x14ac:dyDescent="0.2">
      <c r="T407" s="29"/>
      <c r="U407" s="29"/>
      <c r="AD407" s="30"/>
      <c r="AE407" s="30"/>
      <c r="AO407" s="31"/>
      <c r="AP407" s="31"/>
      <c r="BA407" s="32"/>
      <c r="BB407" s="32"/>
    </row>
    <row r="408" spans="20:54" ht="12.75" x14ac:dyDescent="0.2">
      <c r="T408" s="29"/>
      <c r="U408" s="29"/>
      <c r="AD408" s="30"/>
      <c r="AE408" s="30"/>
      <c r="AO408" s="31"/>
      <c r="AP408" s="31"/>
      <c r="BA408" s="32"/>
      <c r="BB408" s="32"/>
    </row>
    <row r="409" spans="20:54" ht="12.75" x14ac:dyDescent="0.2">
      <c r="T409" s="29"/>
      <c r="U409" s="29"/>
      <c r="AD409" s="30"/>
      <c r="AE409" s="30"/>
      <c r="AO409" s="31"/>
      <c r="AP409" s="31"/>
      <c r="BA409" s="32"/>
      <c r="BB409" s="32"/>
    </row>
    <row r="410" spans="20:54" ht="12.75" x14ac:dyDescent="0.2">
      <c r="T410" s="29"/>
      <c r="U410" s="29"/>
      <c r="AD410" s="30"/>
      <c r="AE410" s="30"/>
      <c r="AO410" s="31"/>
      <c r="AP410" s="31"/>
      <c r="BA410" s="32"/>
      <c r="BB410" s="32"/>
    </row>
    <row r="411" spans="20:54" ht="12.75" x14ac:dyDescent="0.2">
      <c r="T411" s="29"/>
      <c r="U411" s="29"/>
      <c r="AD411" s="30"/>
      <c r="AE411" s="30"/>
      <c r="AO411" s="31"/>
      <c r="AP411" s="31"/>
      <c r="BA411" s="32"/>
      <c r="BB411" s="32"/>
    </row>
    <row r="412" spans="20:54" ht="12.75" x14ac:dyDescent="0.2">
      <c r="T412" s="29"/>
      <c r="U412" s="29"/>
      <c r="AD412" s="30"/>
      <c r="AE412" s="30"/>
      <c r="AO412" s="31"/>
      <c r="AP412" s="31"/>
      <c r="BA412" s="32"/>
      <c r="BB412" s="32"/>
    </row>
    <row r="413" spans="20:54" ht="12.75" x14ac:dyDescent="0.2">
      <c r="T413" s="29"/>
      <c r="U413" s="29"/>
      <c r="AD413" s="30"/>
      <c r="AE413" s="30"/>
      <c r="AO413" s="31"/>
      <c r="AP413" s="31"/>
      <c r="BA413" s="32"/>
      <c r="BB413" s="32"/>
    </row>
    <row r="414" spans="20:54" ht="12.75" x14ac:dyDescent="0.2">
      <c r="T414" s="29"/>
      <c r="U414" s="29"/>
      <c r="AD414" s="30"/>
      <c r="AE414" s="30"/>
      <c r="AO414" s="31"/>
      <c r="AP414" s="31"/>
      <c r="BA414" s="32"/>
      <c r="BB414" s="32"/>
    </row>
    <row r="415" spans="20:54" ht="12.75" x14ac:dyDescent="0.2">
      <c r="T415" s="29"/>
      <c r="U415" s="29"/>
      <c r="AD415" s="30"/>
      <c r="AE415" s="30"/>
      <c r="AO415" s="31"/>
      <c r="AP415" s="31"/>
      <c r="BA415" s="32"/>
      <c r="BB415" s="32"/>
    </row>
    <row r="416" spans="20:54" ht="12.75" x14ac:dyDescent="0.2">
      <c r="T416" s="29"/>
      <c r="U416" s="29"/>
      <c r="AD416" s="30"/>
      <c r="AE416" s="30"/>
      <c r="AO416" s="31"/>
      <c r="AP416" s="31"/>
      <c r="BA416" s="32"/>
      <c r="BB416" s="32"/>
    </row>
    <row r="417" spans="20:54" ht="12.75" x14ac:dyDescent="0.2">
      <c r="T417" s="29"/>
      <c r="U417" s="29"/>
      <c r="AD417" s="30"/>
      <c r="AE417" s="30"/>
      <c r="AO417" s="31"/>
      <c r="AP417" s="31"/>
      <c r="BA417" s="32"/>
      <c r="BB417" s="32"/>
    </row>
    <row r="418" spans="20:54" ht="12.75" x14ac:dyDescent="0.2">
      <c r="T418" s="29"/>
      <c r="U418" s="29"/>
      <c r="AD418" s="30"/>
      <c r="AE418" s="30"/>
      <c r="AO418" s="31"/>
      <c r="AP418" s="31"/>
      <c r="BA418" s="32"/>
      <c r="BB418" s="32"/>
    </row>
    <row r="419" spans="20:54" ht="12.75" x14ac:dyDescent="0.2">
      <c r="T419" s="29"/>
      <c r="U419" s="29"/>
      <c r="AD419" s="30"/>
      <c r="AE419" s="30"/>
      <c r="AO419" s="31"/>
      <c r="AP419" s="31"/>
      <c r="BA419" s="32"/>
      <c r="BB419" s="32"/>
    </row>
    <row r="420" spans="20:54" ht="12.75" x14ac:dyDescent="0.2">
      <c r="T420" s="29"/>
      <c r="U420" s="29"/>
      <c r="AD420" s="30"/>
      <c r="AE420" s="30"/>
      <c r="AO420" s="31"/>
      <c r="AP420" s="31"/>
      <c r="BA420" s="32"/>
      <c r="BB420" s="32"/>
    </row>
    <row r="421" spans="20:54" ht="12.75" x14ac:dyDescent="0.2">
      <c r="T421" s="29"/>
      <c r="U421" s="29"/>
      <c r="AD421" s="30"/>
      <c r="AE421" s="30"/>
      <c r="AO421" s="31"/>
      <c r="AP421" s="31"/>
      <c r="BA421" s="32"/>
      <c r="BB421" s="32"/>
    </row>
    <row r="422" spans="20:54" ht="12.75" x14ac:dyDescent="0.2">
      <c r="T422" s="29"/>
      <c r="U422" s="29"/>
      <c r="AD422" s="30"/>
      <c r="AE422" s="30"/>
      <c r="AO422" s="31"/>
      <c r="AP422" s="31"/>
      <c r="BA422" s="32"/>
      <c r="BB422" s="32"/>
    </row>
    <row r="423" spans="20:54" ht="12.75" x14ac:dyDescent="0.2">
      <c r="T423" s="29"/>
      <c r="U423" s="29"/>
      <c r="AD423" s="30"/>
      <c r="AE423" s="30"/>
      <c r="AO423" s="31"/>
      <c r="AP423" s="31"/>
      <c r="BA423" s="32"/>
      <c r="BB423" s="32"/>
    </row>
    <row r="424" spans="20:54" ht="12.75" x14ac:dyDescent="0.2">
      <c r="T424" s="29"/>
      <c r="U424" s="29"/>
      <c r="AD424" s="30"/>
      <c r="AE424" s="30"/>
      <c r="AO424" s="31"/>
      <c r="AP424" s="31"/>
      <c r="BA424" s="32"/>
      <c r="BB424" s="32"/>
    </row>
    <row r="425" spans="20:54" ht="12.75" x14ac:dyDescent="0.2">
      <c r="T425" s="29"/>
      <c r="U425" s="29"/>
      <c r="AD425" s="30"/>
      <c r="AE425" s="30"/>
      <c r="AO425" s="31"/>
      <c r="AP425" s="31"/>
      <c r="BA425" s="32"/>
      <c r="BB425" s="32"/>
    </row>
    <row r="426" spans="20:54" ht="12.75" x14ac:dyDescent="0.2">
      <c r="T426" s="29"/>
      <c r="U426" s="29"/>
      <c r="AD426" s="30"/>
      <c r="AE426" s="30"/>
      <c r="AO426" s="31"/>
      <c r="AP426" s="31"/>
      <c r="BA426" s="32"/>
      <c r="BB426" s="32"/>
    </row>
    <row r="427" spans="20:54" ht="12.75" x14ac:dyDescent="0.2">
      <c r="T427" s="29"/>
      <c r="U427" s="29"/>
      <c r="AD427" s="30"/>
      <c r="AE427" s="30"/>
      <c r="AO427" s="31"/>
      <c r="AP427" s="31"/>
      <c r="BA427" s="32"/>
      <c r="BB427" s="32"/>
    </row>
    <row r="428" spans="20:54" ht="12.75" x14ac:dyDescent="0.2">
      <c r="T428" s="29"/>
      <c r="U428" s="29"/>
      <c r="AD428" s="30"/>
      <c r="AE428" s="30"/>
      <c r="AO428" s="31"/>
      <c r="AP428" s="31"/>
      <c r="BA428" s="32"/>
      <c r="BB428" s="32"/>
    </row>
    <row r="429" spans="20:54" ht="12.75" x14ac:dyDescent="0.2">
      <c r="T429" s="29"/>
      <c r="U429" s="29"/>
      <c r="AD429" s="30"/>
      <c r="AE429" s="30"/>
      <c r="AO429" s="31"/>
      <c r="AP429" s="31"/>
      <c r="BA429" s="32"/>
      <c r="BB429" s="32"/>
    </row>
    <row r="430" spans="20:54" ht="12.75" x14ac:dyDescent="0.2">
      <c r="T430" s="29"/>
      <c r="U430" s="29"/>
      <c r="AD430" s="30"/>
      <c r="AE430" s="30"/>
      <c r="AO430" s="31"/>
      <c r="AP430" s="31"/>
      <c r="BA430" s="32"/>
      <c r="BB430" s="32"/>
    </row>
    <row r="431" spans="20:54" ht="12.75" x14ac:dyDescent="0.2">
      <c r="T431" s="29"/>
      <c r="U431" s="29"/>
      <c r="AD431" s="30"/>
      <c r="AE431" s="30"/>
      <c r="AO431" s="31"/>
      <c r="AP431" s="31"/>
      <c r="BA431" s="32"/>
      <c r="BB431" s="32"/>
    </row>
    <row r="432" spans="20:54" ht="12.75" x14ac:dyDescent="0.2">
      <c r="T432" s="29"/>
      <c r="U432" s="29"/>
      <c r="AD432" s="30"/>
      <c r="AE432" s="30"/>
      <c r="AO432" s="31"/>
      <c r="AP432" s="31"/>
      <c r="BA432" s="32"/>
      <c r="BB432" s="32"/>
    </row>
    <row r="433" spans="20:54" ht="12.75" x14ac:dyDescent="0.2">
      <c r="T433" s="29"/>
      <c r="U433" s="29"/>
      <c r="AD433" s="30"/>
      <c r="AE433" s="30"/>
      <c r="AO433" s="31"/>
      <c r="AP433" s="31"/>
      <c r="BA433" s="32"/>
      <c r="BB433" s="32"/>
    </row>
    <row r="434" spans="20:54" ht="12.75" x14ac:dyDescent="0.2">
      <c r="T434" s="29"/>
      <c r="U434" s="29"/>
      <c r="AD434" s="30"/>
      <c r="AE434" s="30"/>
      <c r="AO434" s="31"/>
      <c r="AP434" s="31"/>
      <c r="BA434" s="32"/>
      <c r="BB434" s="32"/>
    </row>
    <row r="435" spans="20:54" ht="12.75" x14ac:dyDescent="0.2">
      <c r="T435" s="29"/>
      <c r="U435" s="29"/>
      <c r="AD435" s="30"/>
      <c r="AE435" s="30"/>
      <c r="AO435" s="31"/>
      <c r="AP435" s="31"/>
      <c r="BA435" s="32"/>
      <c r="BB435" s="32"/>
    </row>
    <row r="436" spans="20:54" ht="12.75" x14ac:dyDescent="0.2">
      <c r="T436" s="29"/>
      <c r="U436" s="29"/>
      <c r="AD436" s="30"/>
      <c r="AE436" s="30"/>
      <c r="AO436" s="31"/>
      <c r="AP436" s="31"/>
      <c r="BA436" s="32"/>
      <c r="BB436" s="32"/>
    </row>
    <row r="437" spans="20:54" ht="12.75" x14ac:dyDescent="0.2">
      <c r="T437" s="29"/>
      <c r="U437" s="29"/>
      <c r="AD437" s="30"/>
      <c r="AE437" s="30"/>
      <c r="AO437" s="31"/>
      <c r="AP437" s="31"/>
      <c r="BA437" s="32"/>
      <c r="BB437" s="32"/>
    </row>
    <row r="438" spans="20:54" ht="12.75" x14ac:dyDescent="0.2">
      <c r="T438" s="29"/>
      <c r="U438" s="29"/>
      <c r="AD438" s="30"/>
      <c r="AE438" s="30"/>
      <c r="AO438" s="31"/>
      <c r="AP438" s="31"/>
      <c r="BA438" s="32"/>
      <c r="BB438" s="32"/>
    </row>
    <row r="439" spans="20:54" ht="12.75" x14ac:dyDescent="0.2">
      <c r="T439" s="29"/>
      <c r="U439" s="29"/>
      <c r="AD439" s="30"/>
      <c r="AE439" s="30"/>
      <c r="AO439" s="31"/>
      <c r="AP439" s="31"/>
      <c r="BA439" s="32"/>
      <c r="BB439" s="32"/>
    </row>
    <row r="440" spans="20:54" ht="12.75" x14ac:dyDescent="0.2">
      <c r="T440" s="29"/>
      <c r="U440" s="29"/>
      <c r="AD440" s="30"/>
      <c r="AE440" s="30"/>
      <c r="AO440" s="31"/>
      <c r="AP440" s="31"/>
      <c r="BA440" s="32"/>
      <c r="BB440" s="32"/>
    </row>
    <row r="441" spans="20:54" ht="12.75" x14ac:dyDescent="0.2">
      <c r="T441" s="29"/>
      <c r="U441" s="29"/>
      <c r="AD441" s="30"/>
      <c r="AE441" s="30"/>
      <c r="AO441" s="31"/>
      <c r="AP441" s="31"/>
      <c r="BA441" s="32"/>
      <c r="BB441" s="32"/>
    </row>
    <row r="442" spans="20:54" ht="12.75" x14ac:dyDescent="0.2">
      <c r="T442" s="29"/>
      <c r="U442" s="29"/>
      <c r="AD442" s="30"/>
      <c r="AE442" s="30"/>
      <c r="AO442" s="31"/>
      <c r="AP442" s="31"/>
      <c r="BA442" s="32"/>
      <c r="BB442" s="32"/>
    </row>
    <row r="443" spans="20:54" ht="12.75" x14ac:dyDescent="0.2">
      <c r="T443" s="29"/>
      <c r="U443" s="29"/>
      <c r="AD443" s="30"/>
      <c r="AE443" s="30"/>
      <c r="AO443" s="31"/>
      <c r="AP443" s="31"/>
      <c r="BA443" s="32"/>
      <c r="BB443" s="32"/>
    </row>
    <row r="444" spans="20:54" ht="12.75" x14ac:dyDescent="0.2">
      <c r="T444" s="29"/>
      <c r="U444" s="29"/>
      <c r="AD444" s="30"/>
      <c r="AE444" s="30"/>
      <c r="AO444" s="31"/>
      <c r="AP444" s="31"/>
      <c r="BA444" s="32"/>
      <c r="BB444" s="32"/>
    </row>
    <row r="445" spans="20:54" ht="12.75" x14ac:dyDescent="0.2">
      <c r="T445" s="29"/>
      <c r="U445" s="29"/>
      <c r="AD445" s="30"/>
      <c r="AE445" s="30"/>
      <c r="AO445" s="31"/>
      <c r="AP445" s="31"/>
      <c r="BA445" s="32"/>
      <c r="BB445" s="32"/>
    </row>
    <row r="446" spans="20:54" ht="12.75" x14ac:dyDescent="0.2">
      <c r="T446" s="29"/>
      <c r="U446" s="29"/>
      <c r="AD446" s="30"/>
      <c r="AE446" s="30"/>
      <c r="AO446" s="31"/>
      <c r="AP446" s="31"/>
      <c r="BA446" s="32"/>
      <c r="BB446" s="32"/>
    </row>
    <row r="447" spans="20:54" ht="12.75" x14ac:dyDescent="0.2">
      <c r="T447" s="29"/>
      <c r="U447" s="29"/>
      <c r="AD447" s="30"/>
      <c r="AE447" s="30"/>
      <c r="AO447" s="31"/>
      <c r="AP447" s="31"/>
      <c r="BA447" s="32"/>
      <c r="BB447" s="32"/>
    </row>
    <row r="448" spans="20:54" ht="12.75" x14ac:dyDescent="0.2">
      <c r="T448" s="29"/>
      <c r="U448" s="29"/>
      <c r="AD448" s="30"/>
      <c r="AE448" s="30"/>
      <c r="AO448" s="31"/>
      <c r="AP448" s="31"/>
      <c r="BA448" s="32"/>
      <c r="BB448" s="32"/>
    </row>
    <row r="449" spans="20:54" ht="12.75" x14ac:dyDescent="0.2">
      <c r="T449" s="29"/>
      <c r="U449" s="29"/>
      <c r="AD449" s="30"/>
      <c r="AE449" s="30"/>
      <c r="AO449" s="31"/>
      <c r="AP449" s="31"/>
      <c r="BA449" s="32"/>
      <c r="BB449" s="32"/>
    </row>
    <row r="450" spans="20:54" ht="12.75" x14ac:dyDescent="0.2">
      <c r="T450" s="29"/>
      <c r="U450" s="29"/>
      <c r="AD450" s="30"/>
      <c r="AE450" s="30"/>
      <c r="AO450" s="31"/>
      <c r="AP450" s="31"/>
      <c r="BA450" s="32"/>
      <c r="BB450" s="32"/>
    </row>
    <row r="451" spans="20:54" ht="12.75" x14ac:dyDescent="0.2">
      <c r="T451" s="29"/>
      <c r="U451" s="29"/>
      <c r="AD451" s="30"/>
      <c r="AE451" s="30"/>
      <c r="AO451" s="31"/>
      <c r="AP451" s="31"/>
      <c r="BA451" s="32"/>
      <c r="BB451" s="32"/>
    </row>
    <row r="452" spans="20:54" ht="12.75" x14ac:dyDescent="0.2">
      <c r="T452" s="29"/>
      <c r="U452" s="29"/>
      <c r="AD452" s="30"/>
      <c r="AE452" s="30"/>
      <c r="AO452" s="31"/>
      <c r="AP452" s="31"/>
      <c r="BA452" s="32"/>
      <c r="BB452" s="32"/>
    </row>
    <row r="453" spans="20:54" ht="12.75" x14ac:dyDescent="0.2">
      <c r="T453" s="29"/>
      <c r="U453" s="29"/>
      <c r="AD453" s="30"/>
      <c r="AE453" s="30"/>
      <c r="AO453" s="31"/>
      <c r="AP453" s="31"/>
      <c r="BA453" s="32"/>
      <c r="BB453" s="32"/>
    </row>
    <row r="454" spans="20:54" ht="12.75" x14ac:dyDescent="0.2">
      <c r="T454" s="29"/>
      <c r="U454" s="29"/>
      <c r="AD454" s="30"/>
      <c r="AE454" s="30"/>
      <c r="AO454" s="31"/>
      <c r="AP454" s="31"/>
      <c r="BA454" s="32"/>
      <c r="BB454" s="32"/>
    </row>
    <row r="455" spans="20:54" ht="12.75" x14ac:dyDescent="0.2">
      <c r="T455" s="29"/>
      <c r="U455" s="29"/>
      <c r="AD455" s="30"/>
      <c r="AE455" s="30"/>
      <c r="AO455" s="31"/>
      <c r="AP455" s="31"/>
      <c r="BA455" s="32"/>
      <c r="BB455" s="32"/>
    </row>
    <row r="456" spans="20:54" ht="12.75" x14ac:dyDescent="0.2">
      <c r="T456" s="29"/>
      <c r="U456" s="29"/>
      <c r="AD456" s="30"/>
      <c r="AE456" s="30"/>
      <c r="AO456" s="31"/>
      <c r="AP456" s="31"/>
      <c r="BA456" s="32"/>
      <c r="BB456" s="32"/>
    </row>
    <row r="457" spans="20:54" ht="12.75" x14ac:dyDescent="0.2">
      <c r="T457" s="29"/>
      <c r="U457" s="29"/>
      <c r="AD457" s="30"/>
      <c r="AE457" s="30"/>
      <c r="AO457" s="31"/>
      <c r="AP457" s="31"/>
      <c r="BA457" s="32"/>
      <c r="BB457" s="32"/>
    </row>
    <row r="458" spans="20:54" ht="12.75" x14ac:dyDescent="0.2">
      <c r="T458" s="29"/>
      <c r="U458" s="29"/>
      <c r="AD458" s="30"/>
      <c r="AE458" s="30"/>
      <c r="AO458" s="31"/>
      <c r="AP458" s="31"/>
      <c r="BA458" s="32"/>
      <c r="BB458" s="32"/>
    </row>
    <row r="459" spans="20:54" ht="12.75" x14ac:dyDescent="0.2">
      <c r="T459" s="29"/>
      <c r="U459" s="29"/>
      <c r="AD459" s="30"/>
      <c r="AE459" s="30"/>
      <c r="AO459" s="31"/>
      <c r="AP459" s="31"/>
      <c r="BA459" s="32"/>
      <c r="BB459" s="32"/>
    </row>
    <row r="460" spans="20:54" ht="12.75" x14ac:dyDescent="0.2">
      <c r="T460" s="29"/>
      <c r="U460" s="29"/>
      <c r="AD460" s="30"/>
      <c r="AE460" s="30"/>
      <c r="AO460" s="31"/>
      <c r="AP460" s="31"/>
      <c r="BA460" s="32"/>
      <c r="BB460" s="32"/>
    </row>
    <row r="461" spans="20:54" ht="12.75" x14ac:dyDescent="0.2">
      <c r="T461" s="29"/>
      <c r="U461" s="29"/>
      <c r="AD461" s="30"/>
      <c r="AE461" s="30"/>
      <c r="AO461" s="31"/>
      <c r="AP461" s="31"/>
      <c r="BA461" s="32"/>
      <c r="BB461" s="32"/>
    </row>
    <row r="462" spans="20:54" ht="12.75" x14ac:dyDescent="0.2">
      <c r="T462" s="29"/>
      <c r="U462" s="29"/>
      <c r="AD462" s="30"/>
      <c r="AE462" s="30"/>
      <c r="AO462" s="31"/>
      <c r="AP462" s="31"/>
      <c r="BA462" s="32"/>
      <c r="BB462" s="32"/>
    </row>
    <row r="463" spans="20:54" ht="12.75" x14ac:dyDescent="0.2">
      <c r="T463" s="29"/>
      <c r="U463" s="29"/>
      <c r="AD463" s="30"/>
      <c r="AE463" s="30"/>
      <c r="AO463" s="31"/>
      <c r="AP463" s="31"/>
      <c r="BA463" s="32"/>
      <c r="BB463" s="32"/>
    </row>
    <row r="464" spans="20:54" ht="12.75" x14ac:dyDescent="0.2">
      <c r="T464" s="29"/>
      <c r="U464" s="29"/>
      <c r="AD464" s="30"/>
      <c r="AE464" s="30"/>
      <c r="AO464" s="31"/>
      <c r="AP464" s="31"/>
      <c r="BA464" s="32"/>
      <c r="BB464" s="32"/>
    </row>
    <row r="465" spans="20:54" ht="12.75" x14ac:dyDescent="0.2">
      <c r="T465" s="29"/>
      <c r="U465" s="29"/>
      <c r="AD465" s="30"/>
      <c r="AE465" s="30"/>
      <c r="AO465" s="31"/>
      <c r="AP465" s="31"/>
      <c r="BA465" s="32"/>
      <c r="BB465" s="32"/>
    </row>
    <row r="466" spans="20:54" ht="12.75" x14ac:dyDescent="0.2">
      <c r="T466" s="29"/>
      <c r="U466" s="29"/>
      <c r="AD466" s="30"/>
      <c r="AE466" s="30"/>
      <c r="AO466" s="31"/>
      <c r="AP466" s="31"/>
      <c r="BA466" s="32"/>
      <c r="BB466" s="32"/>
    </row>
    <row r="467" spans="20:54" ht="12.75" x14ac:dyDescent="0.2">
      <c r="T467" s="29"/>
      <c r="U467" s="29"/>
      <c r="AD467" s="30"/>
      <c r="AE467" s="30"/>
      <c r="AO467" s="31"/>
      <c r="AP467" s="31"/>
      <c r="BA467" s="32"/>
      <c r="BB467" s="32"/>
    </row>
    <row r="468" spans="20:54" ht="12.75" x14ac:dyDescent="0.2">
      <c r="T468" s="29"/>
      <c r="U468" s="29"/>
      <c r="AD468" s="30"/>
      <c r="AE468" s="30"/>
      <c r="AO468" s="31"/>
      <c r="AP468" s="31"/>
      <c r="BA468" s="32"/>
      <c r="BB468" s="32"/>
    </row>
    <row r="469" spans="20:54" ht="12.75" x14ac:dyDescent="0.2">
      <c r="T469" s="29"/>
      <c r="U469" s="29"/>
      <c r="AD469" s="30"/>
      <c r="AE469" s="30"/>
      <c r="AO469" s="31"/>
      <c r="AP469" s="31"/>
      <c r="BA469" s="32"/>
      <c r="BB469" s="32"/>
    </row>
    <row r="470" spans="20:54" ht="12.75" x14ac:dyDescent="0.2">
      <c r="T470" s="29"/>
      <c r="U470" s="29"/>
      <c r="AD470" s="30"/>
      <c r="AE470" s="30"/>
      <c r="AO470" s="31"/>
      <c r="AP470" s="31"/>
      <c r="BA470" s="32"/>
      <c r="BB470" s="32"/>
    </row>
    <row r="471" spans="20:54" ht="12.75" x14ac:dyDescent="0.2">
      <c r="T471" s="29"/>
      <c r="U471" s="29"/>
      <c r="AD471" s="30"/>
      <c r="AE471" s="30"/>
      <c r="AO471" s="31"/>
      <c r="AP471" s="31"/>
      <c r="BA471" s="32"/>
      <c r="BB471" s="32"/>
    </row>
    <row r="472" spans="20:54" ht="12.75" x14ac:dyDescent="0.2">
      <c r="T472" s="29"/>
      <c r="U472" s="29"/>
      <c r="AD472" s="30"/>
      <c r="AE472" s="30"/>
      <c r="AO472" s="31"/>
      <c r="AP472" s="31"/>
      <c r="BA472" s="32"/>
      <c r="BB472" s="32"/>
    </row>
    <row r="473" spans="20:54" ht="12.75" x14ac:dyDescent="0.2">
      <c r="T473" s="29"/>
      <c r="U473" s="29"/>
      <c r="AD473" s="30"/>
      <c r="AE473" s="30"/>
      <c r="AO473" s="31"/>
      <c r="AP473" s="31"/>
      <c r="BA473" s="32"/>
      <c r="BB473" s="32"/>
    </row>
    <row r="474" spans="20:54" ht="12.75" x14ac:dyDescent="0.2">
      <c r="T474" s="29"/>
      <c r="U474" s="29"/>
      <c r="AD474" s="30"/>
      <c r="AE474" s="30"/>
      <c r="AO474" s="31"/>
      <c r="AP474" s="31"/>
      <c r="BA474" s="32"/>
      <c r="BB474" s="32"/>
    </row>
    <row r="475" spans="20:54" ht="12.75" x14ac:dyDescent="0.2">
      <c r="T475" s="29"/>
      <c r="U475" s="29"/>
      <c r="AD475" s="30"/>
      <c r="AE475" s="30"/>
      <c r="AO475" s="31"/>
      <c r="AP475" s="31"/>
      <c r="BA475" s="32"/>
      <c r="BB475" s="32"/>
    </row>
    <row r="476" spans="20:54" ht="12.75" x14ac:dyDescent="0.2">
      <c r="T476" s="29"/>
      <c r="U476" s="29"/>
      <c r="AD476" s="30"/>
      <c r="AE476" s="30"/>
      <c r="AO476" s="31"/>
      <c r="AP476" s="31"/>
      <c r="BA476" s="32"/>
      <c r="BB476" s="32"/>
    </row>
    <row r="477" spans="20:54" ht="12.75" x14ac:dyDescent="0.2">
      <c r="T477" s="29"/>
      <c r="U477" s="29"/>
      <c r="AD477" s="30"/>
      <c r="AE477" s="30"/>
      <c r="AO477" s="31"/>
      <c r="AP477" s="31"/>
      <c r="BA477" s="32"/>
      <c r="BB477" s="32"/>
    </row>
    <row r="478" spans="20:54" ht="12.75" x14ac:dyDescent="0.2">
      <c r="T478" s="29"/>
      <c r="U478" s="29"/>
      <c r="AD478" s="30"/>
      <c r="AE478" s="30"/>
      <c r="AO478" s="31"/>
      <c r="AP478" s="31"/>
      <c r="BA478" s="32"/>
      <c r="BB478" s="32"/>
    </row>
    <row r="479" spans="20:54" ht="12.75" x14ac:dyDescent="0.2">
      <c r="T479" s="29"/>
      <c r="U479" s="29"/>
      <c r="AD479" s="30"/>
      <c r="AE479" s="30"/>
      <c r="AO479" s="31"/>
      <c r="AP479" s="31"/>
      <c r="BA479" s="32"/>
      <c r="BB479" s="32"/>
    </row>
    <row r="480" spans="20:54" ht="12.75" x14ac:dyDescent="0.2">
      <c r="T480" s="29"/>
      <c r="U480" s="29"/>
      <c r="AD480" s="30"/>
      <c r="AE480" s="30"/>
      <c r="AO480" s="31"/>
      <c r="AP480" s="31"/>
      <c r="BA480" s="32"/>
      <c r="BB480" s="32"/>
    </row>
    <row r="481" spans="20:54" ht="12.75" x14ac:dyDescent="0.2">
      <c r="T481" s="29"/>
      <c r="U481" s="29"/>
      <c r="AD481" s="30"/>
      <c r="AE481" s="30"/>
      <c r="AO481" s="31"/>
      <c r="AP481" s="31"/>
      <c r="BA481" s="32"/>
      <c r="BB481" s="32"/>
    </row>
    <row r="482" spans="20:54" ht="12.75" x14ac:dyDescent="0.2">
      <c r="T482" s="29"/>
      <c r="U482" s="29"/>
      <c r="AD482" s="30"/>
      <c r="AE482" s="30"/>
      <c r="AO482" s="31"/>
      <c r="AP482" s="31"/>
      <c r="BA482" s="32"/>
      <c r="BB482" s="32"/>
    </row>
    <row r="483" spans="20:54" ht="12.75" x14ac:dyDescent="0.2">
      <c r="T483" s="29"/>
      <c r="U483" s="29"/>
      <c r="AD483" s="30"/>
      <c r="AE483" s="30"/>
      <c r="AO483" s="31"/>
      <c r="AP483" s="31"/>
      <c r="BA483" s="32"/>
      <c r="BB483" s="32"/>
    </row>
    <row r="484" spans="20:54" ht="12.75" x14ac:dyDescent="0.2">
      <c r="T484" s="29"/>
      <c r="U484" s="29"/>
      <c r="AD484" s="30"/>
      <c r="AE484" s="30"/>
      <c r="AO484" s="31"/>
      <c r="AP484" s="31"/>
      <c r="BA484" s="32"/>
      <c r="BB484" s="32"/>
    </row>
    <row r="485" spans="20:54" ht="12.75" x14ac:dyDescent="0.2">
      <c r="T485" s="29"/>
      <c r="U485" s="29"/>
      <c r="AD485" s="30"/>
      <c r="AE485" s="30"/>
      <c r="AO485" s="31"/>
      <c r="AP485" s="31"/>
      <c r="BA485" s="32"/>
      <c r="BB485" s="32"/>
    </row>
    <row r="486" spans="20:54" ht="12.75" x14ac:dyDescent="0.2">
      <c r="T486" s="29"/>
      <c r="U486" s="29"/>
      <c r="AD486" s="30"/>
      <c r="AE486" s="30"/>
      <c r="AO486" s="31"/>
      <c r="AP486" s="31"/>
      <c r="BA486" s="32"/>
      <c r="BB486" s="32"/>
    </row>
    <row r="487" spans="20:54" ht="12.75" x14ac:dyDescent="0.2">
      <c r="T487" s="29"/>
      <c r="U487" s="29"/>
      <c r="AD487" s="30"/>
      <c r="AE487" s="30"/>
      <c r="AO487" s="31"/>
      <c r="AP487" s="31"/>
      <c r="BA487" s="32"/>
      <c r="BB487" s="32"/>
    </row>
    <row r="488" spans="20:54" ht="12.75" x14ac:dyDescent="0.2">
      <c r="T488" s="29"/>
      <c r="U488" s="29"/>
      <c r="AD488" s="30"/>
      <c r="AE488" s="30"/>
      <c r="AO488" s="31"/>
      <c r="AP488" s="31"/>
      <c r="BA488" s="32"/>
      <c r="BB488" s="32"/>
    </row>
    <row r="489" spans="20:54" ht="12.75" x14ac:dyDescent="0.2">
      <c r="T489" s="29"/>
      <c r="U489" s="29"/>
      <c r="AD489" s="30"/>
      <c r="AE489" s="30"/>
      <c r="AO489" s="31"/>
      <c r="AP489" s="31"/>
      <c r="BA489" s="32"/>
      <c r="BB489" s="32"/>
    </row>
    <row r="490" spans="20:54" ht="12.75" x14ac:dyDescent="0.2">
      <c r="T490" s="29"/>
      <c r="U490" s="29"/>
      <c r="AD490" s="30"/>
      <c r="AE490" s="30"/>
      <c r="AO490" s="31"/>
      <c r="AP490" s="31"/>
      <c r="BA490" s="32"/>
      <c r="BB490" s="32"/>
    </row>
    <row r="491" spans="20:54" ht="12.75" x14ac:dyDescent="0.2">
      <c r="T491" s="29"/>
      <c r="U491" s="29"/>
      <c r="AD491" s="30"/>
      <c r="AE491" s="30"/>
      <c r="AO491" s="31"/>
      <c r="AP491" s="31"/>
      <c r="BA491" s="32"/>
      <c r="BB491" s="32"/>
    </row>
    <row r="492" spans="20:54" ht="12.75" x14ac:dyDescent="0.2">
      <c r="T492" s="29"/>
      <c r="U492" s="29"/>
      <c r="AD492" s="30"/>
      <c r="AE492" s="30"/>
      <c r="AO492" s="31"/>
      <c r="AP492" s="31"/>
      <c r="BA492" s="32"/>
      <c r="BB492" s="32"/>
    </row>
    <row r="493" spans="20:54" ht="12.75" x14ac:dyDescent="0.2">
      <c r="T493" s="29"/>
      <c r="U493" s="29"/>
      <c r="AD493" s="30"/>
      <c r="AE493" s="30"/>
      <c r="AO493" s="31"/>
      <c r="AP493" s="31"/>
      <c r="BA493" s="32"/>
      <c r="BB493" s="32"/>
    </row>
    <row r="494" spans="20:54" ht="12.75" x14ac:dyDescent="0.2">
      <c r="T494" s="29"/>
      <c r="U494" s="29"/>
      <c r="AD494" s="30"/>
      <c r="AE494" s="30"/>
      <c r="AO494" s="31"/>
      <c r="AP494" s="31"/>
      <c r="BA494" s="32"/>
      <c r="BB494" s="32"/>
    </row>
    <row r="495" spans="20:54" ht="12.75" x14ac:dyDescent="0.2">
      <c r="T495" s="29"/>
      <c r="U495" s="29"/>
      <c r="AD495" s="30"/>
      <c r="AE495" s="30"/>
      <c r="AO495" s="31"/>
      <c r="AP495" s="31"/>
      <c r="BA495" s="32"/>
      <c r="BB495" s="32"/>
    </row>
    <row r="496" spans="20:54" ht="12.75" x14ac:dyDescent="0.2">
      <c r="T496" s="29"/>
      <c r="U496" s="29"/>
      <c r="AD496" s="30"/>
      <c r="AE496" s="30"/>
      <c r="AO496" s="31"/>
      <c r="AP496" s="31"/>
      <c r="BA496" s="32"/>
      <c r="BB496" s="32"/>
    </row>
    <row r="497" spans="20:54" ht="12.75" x14ac:dyDescent="0.2">
      <c r="T497" s="29"/>
      <c r="U497" s="29"/>
      <c r="AD497" s="30"/>
      <c r="AE497" s="30"/>
      <c r="AO497" s="31"/>
      <c r="AP497" s="31"/>
      <c r="BA497" s="32"/>
      <c r="BB497" s="32"/>
    </row>
    <row r="498" spans="20:54" ht="12.75" x14ac:dyDescent="0.2">
      <c r="T498" s="29"/>
      <c r="U498" s="29"/>
      <c r="AD498" s="30"/>
      <c r="AE498" s="30"/>
      <c r="AO498" s="31"/>
      <c r="AP498" s="31"/>
      <c r="BA498" s="32"/>
      <c r="BB498" s="32"/>
    </row>
    <row r="499" spans="20:54" ht="12.75" x14ac:dyDescent="0.2">
      <c r="T499" s="29"/>
      <c r="U499" s="29"/>
      <c r="AD499" s="30"/>
      <c r="AE499" s="30"/>
      <c r="AO499" s="31"/>
      <c r="AP499" s="31"/>
      <c r="BA499" s="32"/>
      <c r="BB499" s="32"/>
    </row>
    <row r="500" spans="20:54" ht="12.75" x14ac:dyDescent="0.2">
      <c r="T500" s="29"/>
      <c r="U500" s="29"/>
      <c r="AD500" s="30"/>
      <c r="AE500" s="30"/>
      <c r="AO500" s="31"/>
      <c r="AP500" s="31"/>
      <c r="BA500" s="32"/>
      <c r="BB500" s="32"/>
    </row>
    <row r="501" spans="20:54" ht="12.75" x14ac:dyDescent="0.2">
      <c r="T501" s="29"/>
      <c r="U501" s="29"/>
      <c r="AD501" s="30"/>
      <c r="AE501" s="30"/>
      <c r="AO501" s="31"/>
      <c r="AP501" s="31"/>
      <c r="BA501" s="32"/>
      <c r="BB501" s="32"/>
    </row>
    <row r="502" spans="20:54" ht="12.75" x14ac:dyDescent="0.2">
      <c r="T502" s="29"/>
      <c r="U502" s="29"/>
      <c r="AD502" s="30"/>
      <c r="AE502" s="30"/>
      <c r="AO502" s="31"/>
      <c r="AP502" s="31"/>
      <c r="BA502" s="32"/>
      <c r="BB502" s="32"/>
    </row>
    <row r="503" spans="20:54" ht="12.75" x14ac:dyDescent="0.2">
      <c r="T503" s="29"/>
      <c r="U503" s="29"/>
      <c r="AD503" s="30"/>
      <c r="AE503" s="30"/>
      <c r="AO503" s="31"/>
      <c r="AP503" s="31"/>
      <c r="BA503" s="32"/>
      <c r="BB503" s="32"/>
    </row>
    <row r="504" spans="20:54" ht="12.75" x14ac:dyDescent="0.2">
      <c r="T504" s="29"/>
      <c r="U504" s="29"/>
      <c r="AD504" s="30"/>
      <c r="AE504" s="30"/>
      <c r="AO504" s="31"/>
      <c r="AP504" s="31"/>
      <c r="BA504" s="32"/>
      <c r="BB504" s="32"/>
    </row>
    <row r="505" spans="20:54" ht="12.75" x14ac:dyDescent="0.2">
      <c r="T505" s="29"/>
      <c r="U505" s="29"/>
      <c r="AD505" s="30"/>
      <c r="AE505" s="30"/>
      <c r="AO505" s="31"/>
      <c r="AP505" s="31"/>
      <c r="BA505" s="32"/>
      <c r="BB505" s="32"/>
    </row>
    <row r="506" spans="20:54" ht="12.75" x14ac:dyDescent="0.2">
      <c r="T506" s="29"/>
      <c r="U506" s="29"/>
      <c r="AD506" s="30"/>
      <c r="AE506" s="30"/>
      <c r="AO506" s="31"/>
      <c r="AP506" s="31"/>
      <c r="BA506" s="32"/>
      <c r="BB506" s="32"/>
    </row>
    <row r="507" spans="20:54" ht="12.75" x14ac:dyDescent="0.2">
      <c r="T507" s="29"/>
      <c r="U507" s="29"/>
      <c r="AD507" s="30"/>
      <c r="AE507" s="30"/>
      <c r="AO507" s="31"/>
      <c r="AP507" s="31"/>
      <c r="BA507" s="32"/>
      <c r="BB507" s="32"/>
    </row>
    <row r="508" spans="20:54" ht="12.75" x14ac:dyDescent="0.2">
      <c r="T508" s="29"/>
      <c r="U508" s="29"/>
      <c r="AD508" s="30"/>
      <c r="AE508" s="30"/>
      <c r="AO508" s="31"/>
      <c r="AP508" s="31"/>
      <c r="BA508" s="32"/>
      <c r="BB508" s="32"/>
    </row>
    <row r="509" spans="20:54" ht="12.75" x14ac:dyDescent="0.2">
      <c r="T509" s="29"/>
      <c r="U509" s="29"/>
      <c r="AD509" s="30"/>
      <c r="AE509" s="30"/>
      <c r="AO509" s="31"/>
      <c r="AP509" s="31"/>
      <c r="BA509" s="32"/>
      <c r="BB509" s="32"/>
    </row>
    <row r="510" spans="20:54" ht="12.75" x14ac:dyDescent="0.2">
      <c r="T510" s="29"/>
      <c r="U510" s="29"/>
      <c r="AD510" s="30"/>
      <c r="AE510" s="30"/>
      <c r="AO510" s="31"/>
      <c r="AP510" s="31"/>
      <c r="BA510" s="32"/>
      <c r="BB510" s="32"/>
    </row>
    <row r="511" spans="20:54" ht="12.75" x14ac:dyDescent="0.2">
      <c r="T511" s="29"/>
      <c r="U511" s="29"/>
      <c r="AD511" s="30"/>
      <c r="AE511" s="30"/>
      <c r="AO511" s="31"/>
      <c r="AP511" s="31"/>
      <c r="BA511" s="32"/>
      <c r="BB511" s="32"/>
    </row>
    <row r="512" spans="20:54" ht="12.75" x14ac:dyDescent="0.2">
      <c r="T512" s="29"/>
      <c r="U512" s="29"/>
      <c r="AD512" s="30"/>
      <c r="AE512" s="30"/>
      <c r="AO512" s="31"/>
      <c r="AP512" s="31"/>
      <c r="BA512" s="32"/>
      <c r="BB512" s="32"/>
    </row>
    <row r="513" spans="20:54" ht="12.75" x14ac:dyDescent="0.2">
      <c r="T513" s="29"/>
      <c r="U513" s="29"/>
      <c r="AD513" s="30"/>
      <c r="AE513" s="30"/>
      <c r="AO513" s="31"/>
      <c r="AP513" s="31"/>
      <c r="BA513" s="32"/>
      <c r="BB513" s="32"/>
    </row>
    <row r="514" spans="20:54" ht="12.75" x14ac:dyDescent="0.2">
      <c r="T514" s="29"/>
      <c r="U514" s="29"/>
      <c r="AD514" s="30"/>
      <c r="AE514" s="30"/>
      <c r="AO514" s="31"/>
      <c r="AP514" s="31"/>
      <c r="BA514" s="32"/>
      <c r="BB514" s="32"/>
    </row>
    <row r="515" spans="20:54" ht="12.75" x14ac:dyDescent="0.2">
      <c r="T515" s="29"/>
      <c r="U515" s="29"/>
      <c r="AD515" s="30"/>
      <c r="AE515" s="30"/>
      <c r="AO515" s="31"/>
      <c r="AP515" s="31"/>
      <c r="BA515" s="32"/>
      <c r="BB515" s="32"/>
    </row>
    <row r="516" spans="20:54" ht="12.75" x14ac:dyDescent="0.2">
      <c r="T516" s="29"/>
      <c r="U516" s="29"/>
      <c r="AD516" s="30"/>
      <c r="AE516" s="30"/>
      <c r="AO516" s="31"/>
      <c r="AP516" s="31"/>
      <c r="BA516" s="32"/>
      <c r="BB516" s="32"/>
    </row>
    <row r="517" spans="20:54" ht="12.75" x14ac:dyDescent="0.2">
      <c r="T517" s="29"/>
      <c r="U517" s="29"/>
      <c r="AD517" s="30"/>
      <c r="AE517" s="30"/>
      <c r="AO517" s="31"/>
      <c r="AP517" s="31"/>
      <c r="BA517" s="32"/>
      <c r="BB517" s="32"/>
    </row>
    <row r="518" spans="20:54" ht="12.75" x14ac:dyDescent="0.2">
      <c r="T518" s="29"/>
      <c r="U518" s="29"/>
      <c r="AD518" s="30"/>
      <c r="AE518" s="30"/>
      <c r="AO518" s="31"/>
      <c r="AP518" s="31"/>
      <c r="BA518" s="32"/>
      <c r="BB518" s="32"/>
    </row>
    <row r="519" spans="20:54" ht="12.75" x14ac:dyDescent="0.2">
      <c r="T519" s="29"/>
      <c r="U519" s="29"/>
      <c r="AD519" s="30"/>
      <c r="AE519" s="30"/>
      <c r="AO519" s="31"/>
      <c r="AP519" s="31"/>
      <c r="BA519" s="32"/>
      <c r="BB519" s="32"/>
    </row>
    <row r="520" spans="20:54" ht="12.75" x14ac:dyDescent="0.2">
      <c r="T520" s="29"/>
      <c r="U520" s="29"/>
      <c r="AD520" s="30"/>
      <c r="AE520" s="30"/>
      <c r="AO520" s="31"/>
      <c r="AP520" s="31"/>
      <c r="BA520" s="32"/>
      <c r="BB520" s="32"/>
    </row>
    <row r="521" spans="20:54" ht="12.75" x14ac:dyDescent="0.2">
      <c r="T521" s="29"/>
      <c r="U521" s="29"/>
      <c r="AD521" s="30"/>
      <c r="AE521" s="30"/>
      <c r="AO521" s="31"/>
      <c r="AP521" s="31"/>
      <c r="BA521" s="32"/>
      <c r="BB521" s="32"/>
    </row>
    <row r="522" spans="20:54" ht="12.75" x14ac:dyDescent="0.2">
      <c r="T522" s="29"/>
      <c r="U522" s="29"/>
      <c r="AD522" s="30"/>
      <c r="AE522" s="30"/>
      <c r="AO522" s="31"/>
      <c r="AP522" s="31"/>
      <c r="BA522" s="32"/>
      <c r="BB522" s="32"/>
    </row>
    <row r="523" spans="20:54" ht="12.75" x14ac:dyDescent="0.2">
      <c r="T523" s="29"/>
      <c r="U523" s="29"/>
      <c r="AD523" s="30"/>
      <c r="AE523" s="30"/>
      <c r="AO523" s="31"/>
      <c r="AP523" s="31"/>
      <c r="BA523" s="32"/>
      <c r="BB523" s="32"/>
    </row>
    <row r="524" spans="20:54" ht="12.75" x14ac:dyDescent="0.2">
      <c r="T524" s="29"/>
      <c r="U524" s="29"/>
      <c r="AD524" s="30"/>
      <c r="AE524" s="30"/>
      <c r="AO524" s="31"/>
      <c r="AP524" s="31"/>
      <c r="BA524" s="32"/>
      <c r="BB524" s="32"/>
    </row>
    <row r="525" spans="20:54" ht="12.75" x14ac:dyDescent="0.2">
      <c r="T525" s="29"/>
      <c r="U525" s="29"/>
      <c r="AD525" s="30"/>
      <c r="AE525" s="30"/>
      <c r="AO525" s="31"/>
      <c r="AP525" s="31"/>
      <c r="BA525" s="32"/>
      <c r="BB525" s="32"/>
    </row>
    <row r="526" spans="20:54" ht="12.75" x14ac:dyDescent="0.2">
      <c r="T526" s="29"/>
      <c r="U526" s="29"/>
      <c r="AD526" s="30"/>
      <c r="AE526" s="30"/>
      <c r="AO526" s="31"/>
      <c r="AP526" s="31"/>
      <c r="BA526" s="32"/>
      <c r="BB526" s="32"/>
    </row>
    <row r="527" spans="20:54" ht="12.75" x14ac:dyDescent="0.2">
      <c r="T527" s="29"/>
      <c r="U527" s="29"/>
      <c r="AD527" s="30"/>
      <c r="AE527" s="30"/>
      <c r="AO527" s="31"/>
      <c r="AP527" s="31"/>
      <c r="BA527" s="32"/>
      <c r="BB527" s="32"/>
    </row>
    <row r="528" spans="20:54" ht="12.75" x14ac:dyDescent="0.2">
      <c r="T528" s="29"/>
      <c r="U528" s="29"/>
      <c r="AD528" s="30"/>
      <c r="AE528" s="30"/>
      <c r="AO528" s="31"/>
      <c r="AP528" s="31"/>
      <c r="BA528" s="32"/>
      <c r="BB528" s="32"/>
    </row>
    <row r="529" spans="20:54" ht="12.75" x14ac:dyDescent="0.2">
      <c r="T529" s="29"/>
      <c r="U529" s="29"/>
      <c r="AD529" s="30"/>
      <c r="AE529" s="30"/>
      <c r="AO529" s="31"/>
      <c r="AP529" s="31"/>
      <c r="BA529" s="32"/>
      <c r="BB529" s="32"/>
    </row>
    <row r="530" spans="20:54" ht="12.75" x14ac:dyDescent="0.2">
      <c r="T530" s="29"/>
      <c r="U530" s="29"/>
      <c r="AD530" s="30"/>
      <c r="AE530" s="30"/>
      <c r="AO530" s="31"/>
      <c r="AP530" s="31"/>
      <c r="BA530" s="32"/>
      <c r="BB530" s="32"/>
    </row>
    <row r="531" spans="20:54" ht="12.75" x14ac:dyDescent="0.2">
      <c r="T531" s="29"/>
      <c r="U531" s="29"/>
      <c r="AD531" s="30"/>
      <c r="AE531" s="30"/>
      <c r="AO531" s="31"/>
      <c r="AP531" s="31"/>
      <c r="BA531" s="32"/>
      <c r="BB531" s="32"/>
    </row>
    <row r="532" spans="20:54" ht="12.75" x14ac:dyDescent="0.2">
      <c r="T532" s="29"/>
      <c r="U532" s="29"/>
      <c r="AD532" s="30"/>
      <c r="AE532" s="30"/>
      <c r="AO532" s="31"/>
      <c r="AP532" s="31"/>
      <c r="BA532" s="32"/>
      <c r="BB532" s="32"/>
    </row>
    <row r="533" spans="20:54" ht="12.75" x14ac:dyDescent="0.2">
      <c r="T533" s="29"/>
      <c r="U533" s="29"/>
      <c r="AD533" s="30"/>
      <c r="AE533" s="30"/>
      <c r="AO533" s="31"/>
      <c r="AP533" s="31"/>
      <c r="BA533" s="32"/>
      <c r="BB533" s="32"/>
    </row>
    <row r="534" spans="20:54" ht="12.75" x14ac:dyDescent="0.2">
      <c r="T534" s="29"/>
      <c r="U534" s="29"/>
      <c r="AD534" s="30"/>
      <c r="AE534" s="30"/>
      <c r="AO534" s="31"/>
      <c r="AP534" s="31"/>
      <c r="BA534" s="32"/>
      <c r="BB534" s="32"/>
    </row>
    <row r="535" spans="20:54" ht="12.75" x14ac:dyDescent="0.2">
      <c r="T535" s="29"/>
      <c r="U535" s="29"/>
      <c r="AD535" s="30"/>
      <c r="AE535" s="30"/>
      <c r="AO535" s="31"/>
      <c r="AP535" s="31"/>
      <c r="BA535" s="32"/>
      <c r="BB535" s="32"/>
    </row>
    <row r="536" spans="20:54" ht="12.75" x14ac:dyDescent="0.2">
      <c r="T536" s="29"/>
      <c r="U536" s="29"/>
      <c r="AD536" s="30"/>
      <c r="AE536" s="30"/>
      <c r="AO536" s="31"/>
      <c r="AP536" s="31"/>
      <c r="BA536" s="32"/>
      <c r="BB536" s="32"/>
    </row>
    <row r="537" spans="20:54" ht="12.75" x14ac:dyDescent="0.2">
      <c r="T537" s="29"/>
      <c r="U537" s="29"/>
      <c r="AD537" s="30"/>
      <c r="AE537" s="30"/>
      <c r="AO537" s="31"/>
      <c r="AP537" s="31"/>
      <c r="BA537" s="32"/>
      <c r="BB537" s="32"/>
    </row>
    <row r="538" spans="20:54" ht="12.75" x14ac:dyDescent="0.2">
      <c r="T538" s="29"/>
      <c r="U538" s="29"/>
      <c r="AD538" s="30"/>
      <c r="AE538" s="30"/>
      <c r="AO538" s="31"/>
      <c r="AP538" s="31"/>
      <c r="BA538" s="32"/>
      <c r="BB538" s="32"/>
    </row>
    <row r="539" spans="20:54" ht="12.75" x14ac:dyDescent="0.2">
      <c r="T539" s="29"/>
      <c r="U539" s="29"/>
      <c r="AD539" s="30"/>
      <c r="AE539" s="30"/>
      <c r="AO539" s="31"/>
      <c r="AP539" s="31"/>
      <c r="BA539" s="32"/>
      <c r="BB539" s="32"/>
    </row>
    <row r="540" spans="20:54" ht="12.75" x14ac:dyDescent="0.2">
      <c r="T540" s="29"/>
      <c r="U540" s="29"/>
      <c r="AD540" s="30"/>
      <c r="AE540" s="30"/>
      <c r="AO540" s="31"/>
      <c r="AP540" s="31"/>
      <c r="BA540" s="32"/>
      <c r="BB540" s="32"/>
    </row>
    <row r="541" spans="20:54" ht="12.75" x14ac:dyDescent="0.2">
      <c r="T541" s="29"/>
      <c r="U541" s="29"/>
      <c r="AD541" s="30"/>
      <c r="AE541" s="30"/>
      <c r="AO541" s="31"/>
      <c r="AP541" s="31"/>
      <c r="BA541" s="32"/>
      <c r="BB541" s="32"/>
    </row>
    <row r="542" spans="20:54" ht="12.75" x14ac:dyDescent="0.2">
      <c r="T542" s="29"/>
      <c r="U542" s="29"/>
      <c r="AD542" s="30"/>
      <c r="AE542" s="30"/>
      <c r="AO542" s="31"/>
      <c r="AP542" s="31"/>
      <c r="BA542" s="32"/>
      <c r="BB542" s="32"/>
    </row>
    <row r="543" spans="20:54" ht="12.75" x14ac:dyDescent="0.2">
      <c r="T543" s="29"/>
      <c r="U543" s="29"/>
      <c r="AD543" s="30"/>
      <c r="AE543" s="30"/>
      <c r="AO543" s="31"/>
      <c r="AP543" s="31"/>
      <c r="BA543" s="32"/>
      <c r="BB543" s="32"/>
    </row>
    <row r="544" spans="20:54" ht="12.75" x14ac:dyDescent="0.2">
      <c r="T544" s="29"/>
      <c r="U544" s="29"/>
      <c r="AD544" s="30"/>
      <c r="AE544" s="30"/>
      <c r="AO544" s="31"/>
      <c r="AP544" s="31"/>
      <c r="BA544" s="32"/>
      <c r="BB544" s="32"/>
    </row>
    <row r="545" spans="20:54" ht="12.75" x14ac:dyDescent="0.2">
      <c r="T545" s="29"/>
      <c r="U545" s="29"/>
      <c r="AD545" s="30"/>
      <c r="AE545" s="30"/>
      <c r="AO545" s="31"/>
      <c r="AP545" s="31"/>
      <c r="BA545" s="32"/>
      <c r="BB545" s="32"/>
    </row>
    <row r="546" spans="20:54" ht="12.75" x14ac:dyDescent="0.2">
      <c r="T546" s="29"/>
      <c r="U546" s="29"/>
      <c r="AD546" s="30"/>
      <c r="AE546" s="30"/>
      <c r="AO546" s="31"/>
      <c r="AP546" s="31"/>
      <c r="BA546" s="32"/>
      <c r="BB546" s="32"/>
    </row>
    <row r="547" spans="20:54" ht="12.75" x14ac:dyDescent="0.2">
      <c r="T547" s="29"/>
      <c r="U547" s="29"/>
      <c r="AD547" s="30"/>
      <c r="AE547" s="30"/>
      <c r="AO547" s="31"/>
      <c r="AP547" s="31"/>
      <c r="BA547" s="32"/>
      <c r="BB547" s="32"/>
    </row>
    <row r="548" spans="20:54" ht="12.75" x14ac:dyDescent="0.2">
      <c r="T548" s="29"/>
      <c r="U548" s="29"/>
      <c r="AD548" s="30"/>
      <c r="AE548" s="30"/>
      <c r="AO548" s="31"/>
      <c r="AP548" s="31"/>
      <c r="BA548" s="32"/>
      <c r="BB548" s="32"/>
    </row>
    <row r="549" spans="20:54" ht="12.75" x14ac:dyDescent="0.2">
      <c r="T549" s="29"/>
      <c r="U549" s="29"/>
      <c r="AD549" s="30"/>
      <c r="AE549" s="30"/>
      <c r="AO549" s="31"/>
      <c r="AP549" s="31"/>
      <c r="BA549" s="32"/>
      <c r="BB549" s="32"/>
    </row>
    <row r="550" spans="20:54" ht="12.75" x14ac:dyDescent="0.2">
      <c r="T550" s="29"/>
      <c r="U550" s="29"/>
      <c r="AD550" s="30"/>
      <c r="AE550" s="30"/>
      <c r="AO550" s="31"/>
      <c r="AP550" s="31"/>
      <c r="BA550" s="32"/>
      <c r="BB550" s="32"/>
    </row>
    <row r="551" spans="20:54" ht="12.75" x14ac:dyDescent="0.2">
      <c r="T551" s="29"/>
      <c r="U551" s="29"/>
      <c r="AD551" s="30"/>
      <c r="AE551" s="30"/>
      <c r="AO551" s="31"/>
      <c r="AP551" s="31"/>
      <c r="BA551" s="32"/>
      <c r="BB551" s="32"/>
    </row>
    <row r="552" spans="20:54" ht="12.75" x14ac:dyDescent="0.2">
      <c r="T552" s="29"/>
      <c r="U552" s="29"/>
      <c r="AD552" s="30"/>
      <c r="AE552" s="30"/>
      <c r="AO552" s="31"/>
      <c r="AP552" s="31"/>
      <c r="BA552" s="32"/>
      <c r="BB552" s="32"/>
    </row>
    <row r="553" spans="20:54" ht="12.75" x14ac:dyDescent="0.2">
      <c r="T553" s="29"/>
      <c r="U553" s="29"/>
      <c r="AD553" s="30"/>
      <c r="AE553" s="30"/>
      <c r="AO553" s="31"/>
      <c r="AP553" s="31"/>
      <c r="BA553" s="32"/>
      <c r="BB553" s="32"/>
    </row>
    <row r="554" spans="20:54" ht="12.75" x14ac:dyDescent="0.2">
      <c r="T554" s="29"/>
      <c r="U554" s="29"/>
      <c r="AD554" s="30"/>
      <c r="AE554" s="30"/>
      <c r="AO554" s="31"/>
      <c r="AP554" s="31"/>
      <c r="BA554" s="32"/>
      <c r="BB554" s="32"/>
    </row>
    <row r="555" spans="20:54" ht="12.75" x14ac:dyDescent="0.2">
      <c r="T555" s="29"/>
      <c r="U555" s="29"/>
      <c r="AD555" s="30"/>
      <c r="AE555" s="30"/>
      <c r="AO555" s="31"/>
      <c r="AP555" s="31"/>
      <c r="BA555" s="32"/>
      <c r="BB555" s="32"/>
    </row>
    <row r="556" spans="20:54" ht="12.75" x14ac:dyDescent="0.2">
      <c r="T556" s="29"/>
      <c r="U556" s="29"/>
      <c r="AD556" s="30"/>
      <c r="AE556" s="30"/>
      <c r="AO556" s="31"/>
      <c r="AP556" s="31"/>
      <c r="BA556" s="32"/>
      <c r="BB556" s="32"/>
    </row>
    <row r="557" spans="20:54" ht="12.75" x14ac:dyDescent="0.2">
      <c r="T557" s="29"/>
      <c r="U557" s="29"/>
      <c r="AD557" s="30"/>
      <c r="AE557" s="30"/>
      <c r="AO557" s="31"/>
      <c r="AP557" s="31"/>
      <c r="BA557" s="32"/>
      <c r="BB557" s="32"/>
    </row>
    <row r="558" spans="20:54" ht="12.75" x14ac:dyDescent="0.2">
      <c r="T558" s="29"/>
      <c r="U558" s="29"/>
      <c r="AD558" s="30"/>
      <c r="AE558" s="30"/>
      <c r="AO558" s="31"/>
      <c r="AP558" s="31"/>
      <c r="BA558" s="32"/>
      <c r="BB558" s="32"/>
    </row>
    <row r="559" spans="20:54" ht="12.75" x14ac:dyDescent="0.2">
      <c r="T559" s="29"/>
      <c r="U559" s="29"/>
      <c r="AD559" s="30"/>
      <c r="AE559" s="30"/>
      <c r="AO559" s="31"/>
      <c r="AP559" s="31"/>
      <c r="BA559" s="32"/>
      <c r="BB559" s="32"/>
    </row>
    <row r="560" spans="20:54" ht="12.75" x14ac:dyDescent="0.2">
      <c r="T560" s="29"/>
      <c r="U560" s="29"/>
      <c r="AD560" s="30"/>
      <c r="AE560" s="30"/>
      <c r="AO560" s="31"/>
      <c r="AP560" s="31"/>
      <c r="BA560" s="32"/>
      <c r="BB560" s="32"/>
    </row>
    <row r="561" spans="20:54" ht="12.75" x14ac:dyDescent="0.2">
      <c r="T561" s="29"/>
      <c r="U561" s="29"/>
      <c r="AD561" s="30"/>
      <c r="AE561" s="30"/>
      <c r="AO561" s="31"/>
      <c r="AP561" s="31"/>
      <c r="BA561" s="32"/>
      <c r="BB561" s="32"/>
    </row>
    <row r="562" spans="20:54" ht="12.75" x14ac:dyDescent="0.2">
      <c r="T562" s="29"/>
      <c r="U562" s="29"/>
      <c r="AD562" s="30"/>
      <c r="AE562" s="30"/>
      <c r="AO562" s="31"/>
      <c r="AP562" s="31"/>
      <c r="BA562" s="32"/>
      <c r="BB562" s="32"/>
    </row>
    <row r="563" spans="20:54" ht="12.75" x14ac:dyDescent="0.2">
      <c r="T563" s="29"/>
      <c r="U563" s="29"/>
      <c r="AD563" s="30"/>
      <c r="AE563" s="30"/>
      <c r="AO563" s="31"/>
      <c r="AP563" s="31"/>
      <c r="BA563" s="32"/>
      <c r="BB563" s="32"/>
    </row>
    <row r="564" spans="20:54" ht="12.75" x14ac:dyDescent="0.2">
      <c r="T564" s="29"/>
      <c r="U564" s="29"/>
      <c r="AD564" s="30"/>
      <c r="AE564" s="30"/>
      <c r="AO564" s="31"/>
      <c r="AP564" s="31"/>
      <c r="BA564" s="32"/>
      <c r="BB564" s="32"/>
    </row>
    <row r="565" spans="20:54" ht="12.75" x14ac:dyDescent="0.2">
      <c r="T565" s="29"/>
      <c r="U565" s="29"/>
      <c r="AD565" s="30"/>
      <c r="AE565" s="30"/>
      <c r="AO565" s="31"/>
      <c r="AP565" s="31"/>
      <c r="BA565" s="32"/>
      <c r="BB565" s="32"/>
    </row>
    <row r="566" spans="20:54" ht="12.75" x14ac:dyDescent="0.2">
      <c r="T566" s="29"/>
      <c r="U566" s="29"/>
      <c r="AD566" s="30"/>
      <c r="AE566" s="30"/>
      <c r="AO566" s="31"/>
      <c r="AP566" s="31"/>
      <c r="BA566" s="32"/>
      <c r="BB566" s="32"/>
    </row>
    <row r="567" spans="20:54" ht="12.75" x14ac:dyDescent="0.2">
      <c r="T567" s="29"/>
      <c r="U567" s="29"/>
      <c r="AD567" s="30"/>
      <c r="AE567" s="30"/>
      <c r="AO567" s="31"/>
      <c r="AP567" s="31"/>
      <c r="BA567" s="32"/>
      <c r="BB567" s="32"/>
    </row>
    <row r="568" spans="20:54" ht="12.75" x14ac:dyDescent="0.2">
      <c r="T568" s="29"/>
      <c r="U568" s="29"/>
      <c r="AD568" s="30"/>
      <c r="AE568" s="30"/>
      <c r="AO568" s="31"/>
      <c r="AP568" s="31"/>
      <c r="BA568" s="32"/>
      <c r="BB568" s="32"/>
    </row>
    <row r="569" spans="20:54" ht="12.75" x14ac:dyDescent="0.2">
      <c r="T569" s="29"/>
      <c r="U569" s="29"/>
      <c r="AD569" s="30"/>
      <c r="AE569" s="30"/>
      <c r="AO569" s="31"/>
      <c r="AP569" s="31"/>
      <c r="BA569" s="32"/>
      <c r="BB569" s="32"/>
    </row>
    <row r="570" spans="20:54" ht="12.75" x14ac:dyDescent="0.2">
      <c r="T570" s="29"/>
      <c r="U570" s="29"/>
      <c r="AD570" s="30"/>
      <c r="AE570" s="30"/>
      <c r="AO570" s="31"/>
      <c r="AP570" s="31"/>
      <c r="BA570" s="32"/>
      <c r="BB570" s="32"/>
    </row>
    <row r="571" spans="20:54" ht="12.75" x14ac:dyDescent="0.2">
      <c r="T571" s="29"/>
      <c r="U571" s="29"/>
      <c r="AD571" s="30"/>
      <c r="AE571" s="30"/>
      <c r="AO571" s="31"/>
      <c r="AP571" s="31"/>
      <c r="BA571" s="32"/>
      <c r="BB571" s="32"/>
    </row>
    <row r="572" spans="20:54" ht="12.75" x14ac:dyDescent="0.2">
      <c r="T572" s="29"/>
      <c r="U572" s="29"/>
      <c r="AD572" s="30"/>
      <c r="AE572" s="30"/>
      <c r="AO572" s="31"/>
      <c r="AP572" s="31"/>
      <c r="BA572" s="32"/>
      <c r="BB572" s="32"/>
    </row>
    <row r="573" spans="20:54" ht="12.75" x14ac:dyDescent="0.2">
      <c r="T573" s="29"/>
      <c r="U573" s="29"/>
      <c r="AD573" s="30"/>
      <c r="AE573" s="30"/>
      <c r="AO573" s="31"/>
      <c r="AP573" s="31"/>
      <c r="BA573" s="32"/>
      <c r="BB573" s="32"/>
    </row>
    <row r="574" spans="20:54" ht="12.75" x14ac:dyDescent="0.2">
      <c r="T574" s="29"/>
      <c r="U574" s="29"/>
      <c r="AD574" s="30"/>
      <c r="AE574" s="30"/>
      <c r="AO574" s="31"/>
      <c r="AP574" s="31"/>
      <c r="BA574" s="32"/>
      <c r="BB574" s="32"/>
    </row>
    <row r="575" spans="20:54" ht="12.75" x14ac:dyDescent="0.2">
      <c r="T575" s="29"/>
      <c r="U575" s="29"/>
      <c r="AD575" s="30"/>
      <c r="AE575" s="30"/>
      <c r="AO575" s="31"/>
      <c r="AP575" s="31"/>
      <c r="BA575" s="32"/>
      <c r="BB575" s="32"/>
    </row>
    <row r="576" spans="20:54" ht="12.75" x14ac:dyDescent="0.2">
      <c r="T576" s="29"/>
      <c r="U576" s="29"/>
      <c r="AD576" s="30"/>
      <c r="AE576" s="30"/>
      <c r="AO576" s="31"/>
      <c r="AP576" s="31"/>
      <c r="BA576" s="32"/>
      <c r="BB576" s="32"/>
    </row>
    <row r="577" spans="20:54" ht="12.75" x14ac:dyDescent="0.2">
      <c r="T577" s="29"/>
      <c r="U577" s="29"/>
      <c r="AD577" s="30"/>
      <c r="AE577" s="30"/>
      <c r="AO577" s="31"/>
      <c r="AP577" s="31"/>
      <c r="BA577" s="32"/>
      <c r="BB577" s="32"/>
    </row>
    <row r="578" spans="20:54" ht="12.75" x14ac:dyDescent="0.2">
      <c r="T578" s="29"/>
      <c r="U578" s="29"/>
      <c r="AD578" s="30"/>
      <c r="AE578" s="30"/>
      <c r="AO578" s="31"/>
      <c r="AP578" s="31"/>
      <c r="BA578" s="32"/>
      <c r="BB578" s="32"/>
    </row>
    <row r="579" spans="20:54" ht="12.75" x14ac:dyDescent="0.2">
      <c r="T579" s="29"/>
      <c r="U579" s="29"/>
      <c r="AD579" s="30"/>
      <c r="AE579" s="30"/>
      <c r="AO579" s="31"/>
      <c r="AP579" s="31"/>
      <c r="BA579" s="32"/>
      <c r="BB579" s="32"/>
    </row>
    <row r="580" spans="20:54" ht="12.75" x14ac:dyDescent="0.2">
      <c r="T580" s="29"/>
      <c r="U580" s="29"/>
      <c r="AD580" s="30"/>
      <c r="AE580" s="30"/>
      <c r="AO580" s="31"/>
      <c r="AP580" s="31"/>
      <c r="BA580" s="32"/>
      <c r="BB580" s="32"/>
    </row>
    <row r="581" spans="20:54" ht="12.75" x14ac:dyDescent="0.2">
      <c r="T581" s="29"/>
      <c r="U581" s="29"/>
      <c r="AD581" s="30"/>
      <c r="AE581" s="30"/>
      <c r="AO581" s="31"/>
      <c r="AP581" s="31"/>
      <c r="BA581" s="32"/>
      <c r="BB581" s="32"/>
    </row>
    <row r="582" spans="20:54" ht="12.75" x14ac:dyDescent="0.2">
      <c r="T582" s="29"/>
      <c r="U582" s="29"/>
      <c r="AD582" s="30"/>
      <c r="AE582" s="30"/>
      <c r="AO582" s="31"/>
      <c r="AP582" s="31"/>
      <c r="BA582" s="32"/>
      <c r="BB582" s="32"/>
    </row>
    <row r="583" spans="20:54" ht="12.75" x14ac:dyDescent="0.2">
      <c r="T583" s="29"/>
      <c r="U583" s="29"/>
      <c r="AD583" s="30"/>
      <c r="AE583" s="30"/>
      <c r="AO583" s="31"/>
      <c r="AP583" s="31"/>
      <c r="BA583" s="32"/>
      <c r="BB583" s="32"/>
    </row>
    <row r="584" spans="20:54" ht="12.75" x14ac:dyDescent="0.2">
      <c r="T584" s="29"/>
      <c r="U584" s="29"/>
      <c r="AD584" s="30"/>
      <c r="AE584" s="30"/>
      <c r="AO584" s="31"/>
      <c r="AP584" s="31"/>
      <c r="BA584" s="32"/>
      <c r="BB584" s="32"/>
    </row>
    <row r="585" spans="20:54" ht="12.75" x14ac:dyDescent="0.2">
      <c r="T585" s="29"/>
      <c r="U585" s="29"/>
      <c r="AD585" s="30"/>
      <c r="AE585" s="30"/>
      <c r="AO585" s="31"/>
      <c r="AP585" s="31"/>
      <c r="BA585" s="32"/>
      <c r="BB585" s="32"/>
    </row>
    <row r="586" spans="20:54" ht="12.75" x14ac:dyDescent="0.2">
      <c r="T586" s="29"/>
      <c r="U586" s="29"/>
      <c r="AD586" s="30"/>
      <c r="AE586" s="30"/>
      <c r="AO586" s="31"/>
      <c r="AP586" s="31"/>
      <c r="BA586" s="32"/>
      <c r="BB586" s="32"/>
    </row>
    <row r="587" spans="20:54" ht="12.75" x14ac:dyDescent="0.2">
      <c r="T587" s="29"/>
      <c r="U587" s="29"/>
      <c r="AD587" s="30"/>
      <c r="AE587" s="30"/>
      <c r="AO587" s="31"/>
      <c r="AP587" s="31"/>
      <c r="BA587" s="32"/>
      <c r="BB587" s="32"/>
    </row>
    <row r="588" spans="20:54" ht="12.75" x14ac:dyDescent="0.2">
      <c r="T588" s="29"/>
      <c r="U588" s="29"/>
      <c r="AD588" s="30"/>
      <c r="AE588" s="30"/>
      <c r="AO588" s="31"/>
      <c r="AP588" s="31"/>
      <c r="BA588" s="32"/>
      <c r="BB588" s="32"/>
    </row>
    <row r="589" spans="20:54" ht="12.75" x14ac:dyDescent="0.2">
      <c r="T589" s="29"/>
      <c r="U589" s="29"/>
      <c r="AD589" s="30"/>
      <c r="AE589" s="30"/>
      <c r="AO589" s="31"/>
      <c r="AP589" s="31"/>
      <c r="BA589" s="32"/>
      <c r="BB589" s="32"/>
    </row>
    <row r="590" spans="20:54" ht="12.75" x14ac:dyDescent="0.2">
      <c r="T590" s="29"/>
      <c r="U590" s="29"/>
      <c r="AD590" s="30"/>
      <c r="AE590" s="30"/>
      <c r="AO590" s="31"/>
      <c r="AP590" s="31"/>
      <c r="BA590" s="32"/>
      <c r="BB590" s="32"/>
    </row>
    <row r="591" spans="20:54" ht="12.75" x14ac:dyDescent="0.2">
      <c r="T591" s="29"/>
      <c r="U591" s="29"/>
      <c r="AD591" s="30"/>
      <c r="AE591" s="30"/>
      <c r="AO591" s="31"/>
      <c r="AP591" s="31"/>
      <c r="BA591" s="32"/>
      <c r="BB591" s="32"/>
    </row>
    <row r="592" spans="20:54" ht="12.75" x14ac:dyDescent="0.2">
      <c r="T592" s="29"/>
      <c r="U592" s="29"/>
      <c r="AD592" s="30"/>
      <c r="AE592" s="30"/>
      <c r="AO592" s="31"/>
      <c r="AP592" s="31"/>
      <c r="BA592" s="32"/>
      <c r="BB592" s="32"/>
    </row>
    <row r="593" spans="20:54" ht="12.75" x14ac:dyDescent="0.2">
      <c r="T593" s="29"/>
      <c r="U593" s="29"/>
      <c r="AD593" s="30"/>
      <c r="AE593" s="30"/>
      <c r="AO593" s="31"/>
      <c r="AP593" s="31"/>
      <c r="BA593" s="32"/>
      <c r="BB593" s="32"/>
    </row>
    <row r="594" spans="20:54" ht="12.75" x14ac:dyDescent="0.2">
      <c r="T594" s="29"/>
      <c r="U594" s="29"/>
      <c r="AD594" s="30"/>
      <c r="AE594" s="30"/>
      <c r="AO594" s="31"/>
      <c r="AP594" s="31"/>
      <c r="BA594" s="32"/>
      <c r="BB594" s="32"/>
    </row>
    <row r="595" spans="20:54" ht="12.75" x14ac:dyDescent="0.2">
      <c r="T595" s="29"/>
      <c r="U595" s="29"/>
      <c r="AD595" s="30"/>
      <c r="AE595" s="30"/>
      <c r="AO595" s="31"/>
      <c r="AP595" s="31"/>
      <c r="BA595" s="32"/>
      <c r="BB595" s="32"/>
    </row>
    <row r="596" spans="20:54" ht="12.75" x14ac:dyDescent="0.2">
      <c r="T596" s="29"/>
      <c r="U596" s="29"/>
      <c r="AD596" s="30"/>
      <c r="AE596" s="30"/>
      <c r="AO596" s="31"/>
      <c r="AP596" s="31"/>
      <c r="BA596" s="32"/>
      <c r="BB596" s="32"/>
    </row>
    <row r="597" spans="20:54" ht="12.75" x14ac:dyDescent="0.2">
      <c r="T597" s="29"/>
      <c r="U597" s="29"/>
      <c r="AD597" s="30"/>
      <c r="AE597" s="30"/>
      <c r="AO597" s="31"/>
      <c r="AP597" s="31"/>
      <c r="BA597" s="32"/>
      <c r="BB597" s="32"/>
    </row>
    <row r="598" spans="20:54" ht="12.75" x14ac:dyDescent="0.2">
      <c r="T598" s="29"/>
      <c r="U598" s="29"/>
      <c r="AD598" s="30"/>
      <c r="AE598" s="30"/>
      <c r="AO598" s="31"/>
      <c r="AP598" s="31"/>
      <c r="BA598" s="32"/>
      <c r="BB598" s="32"/>
    </row>
    <row r="599" spans="20:54" ht="12.75" x14ac:dyDescent="0.2">
      <c r="T599" s="29"/>
      <c r="U599" s="29"/>
      <c r="AD599" s="30"/>
      <c r="AE599" s="30"/>
      <c r="AO599" s="31"/>
      <c r="AP599" s="31"/>
      <c r="BA599" s="32"/>
      <c r="BB599" s="32"/>
    </row>
    <row r="600" spans="20:54" ht="12.75" x14ac:dyDescent="0.2">
      <c r="T600" s="29"/>
      <c r="U600" s="29"/>
      <c r="AD600" s="30"/>
      <c r="AE600" s="30"/>
      <c r="AO600" s="31"/>
      <c r="AP600" s="31"/>
      <c r="BA600" s="32"/>
      <c r="BB600" s="32"/>
    </row>
    <row r="601" spans="20:54" ht="12.75" x14ac:dyDescent="0.2">
      <c r="T601" s="29"/>
      <c r="U601" s="29"/>
      <c r="AD601" s="30"/>
      <c r="AE601" s="30"/>
      <c r="AO601" s="31"/>
      <c r="AP601" s="31"/>
      <c r="BA601" s="32"/>
      <c r="BB601" s="32"/>
    </row>
    <row r="602" spans="20:54" ht="12.75" x14ac:dyDescent="0.2">
      <c r="T602" s="29"/>
      <c r="U602" s="29"/>
      <c r="AD602" s="30"/>
      <c r="AE602" s="30"/>
      <c r="AO602" s="31"/>
      <c r="AP602" s="31"/>
      <c r="BA602" s="32"/>
      <c r="BB602" s="32"/>
    </row>
    <row r="603" spans="20:54" ht="12.75" x14ac:dyDescent="0.2">
      <c r="T603" s="29"/>
      <c r="U603" s="29"/>
      <c r="AD603" s="30"/>
      <c r="AE603" s="30"/>
      <c r="AO603" s="31"/>
      <c r="AP603" s="31"/>
      <c r="BA603" s="32"/>
      <c r="BB603" s="32"/>
    </row>
    <row r="604" spans="20:54" ht="12.75" x14ac:dyDescent="0.2">
      <c r="T604" s="29"/>
      <c r="U604" s="29"/>
      <c r="AD604" s="30"/>
      <c r="AE604" s="30"/>
      <c r="AO604" s="31"/>
      <c r="AP604" s="31"/>
      <c r="BA604" s="32"/>
      <c r="BB604" s="32"/>
    </row>
    <row r="605" spans="20:54" ht="12.75" x14ac:dyDescent="0.2">
      <c r="T605" s="29"/>
      <c r="U605" s="29"/>
      <c r="AD605" s="30"/>
      <c r="AE605" s="30"/>
      <c r="AO605" s="31"/>
      <c r="AP605" s="31"/>
      <c r="BA605" s="32"/>
      <c r="BB605" s="32"/>
    </row>
    <row r="606" spans="20:54" ht="12.75" x14ac:dyDescent="0.2">
      <c r="T606" s="29"/>
      <c r="U606" s="29"/>
      <c r="AD606" s="30"/>
      <c r="AE606" s="30"/>
      <c r="AO606" s="31"/>
      <c r="AP606" s="31"/>
      <c r="BA606" s="32"/>
      <c r="BB606" s="32"/>
    </row>
    <row r="607" spans="20:54" ht="12.75" x14ac:dyDescent="0.2">
      <c r="T607" s="29"/>
      <c r="U607" s="29"/>
      <c r="AD607" s="30"/>
      <c r="AE607" s="30"/>
      <c r="AO607" s="31"/>
      <c r="AP607" s="31"/>
      <c r="BA607" s="32"/>
      <c r="BB607" s="32"/>
    </row>
    <row r="608" spans="20:54" ht="12.75" x14ac:dyDescent="0.2">
      <c r="T608" s="29"/>
      <c r="U608" s="29"/>
      <c r="AD608" s="30"/>
      <c r="AE608" s="30"/>
      <c r="AO608" s="31"/>
      <c r="AP608" s="31"/>
      <c r="BA608" s="32"/>
      <c r="BB608" s="32"/>
    </row>
    <row r="609" spans="20:54" ht="12.75" x14ac:dyDescent="0.2">
      <c r="T609" s="29"/>
      <c r="U609" s="29"/>
      <c r="AD609" s="30"/>
      <c r="AE609" s="30"/>
      <c r="AO609" s="31"/>
      <c r="AP609" s="31"/>
      <c r="BA609" s="32"/>
      <c r="BB609" s="32"/>
    </row>
    <row r="610" spans="20:54" ht="12.75" x14ac:dyDescent="0.2">
      <c r="T610" s="29"/>
      <c r="U610" s="29"/>
      <c r="AD610" s="30"/>
      <c r="AE610" s="30"/>
      <c r="AO610" s="31"/>
      <c r="AP610" s="31"/>
      <c r="BA610" s="32"/>
      <c r="BB610" s="32"/>
    </row>
    <row r="611" spans="20:54" ht="12.75" x14ac:dyDescent="0.2">
      <c r="T611" s="29"/>
      <c r="U611" s="29"/>
      <c r="AD611" s="30"/>
      <c r="AE611" s="30"/>
      <c r="AO611" s="31"/>
      <c r="AP611" s="31"/>
      <c r="BA611" s="32"/>
      <c r="BB611" s="32"/>
    </row>
    <row r="612" spans="20:54" ht="12.75" x14ac:dyDescent="0.2">
      <c r="T612" s="29"/>
      <c r="U612" s="29"/>
      <c r="AD612" s="30"/>
      <c r="AE612" s="30"/>
      <c r="AO612" s="31"/>
      <c r="AP612" s="31"/>
      <c r="BA612" s="32"/>
      <c r="BB612" s="32"/>
    </row>
    <row r="613" spans="20:54" ht="12.75" x14ac:dyDescent="0.2">
      <c r="T613" s="29"/>
      <c r="U613" s="29"/>
      <c r="AD613" s="30"/>
      <c r="AE613" s="30"/>
      <c r="AO613" s="31"/>
      <c r="AP613" s="31"/>
      <c r="BA613" s="32"/>
      <c r="BB613" s="32"/>
    </row>
    <row r="614" spans="20:54" ht="12.75" x14ac:dyDescent="0.2">
      <c r="T614" s="29"/>
      <c r="U614" s="29"/>
      <c r="AD614" s="30"/>
      <c r="AE614" s="30"/>
      <c r="AO614" s="31"/>
      <c r="AP614" s="31"/>
      <c r="BA614" s="32"/>
      <c r="BB614" s="32"/>
    </row>
    <row r="615" spans="20:54" ht="12.75" x14ac:dyDescent="0.2">
      <c r="T615" s="29"/>
      <c r="U615" s="29"/>
      <c r="AD615" s="30"/>
      <c r="AE615" s="30"/>
      <c r="AO615" s="31"/>
      <c r="AP615" s="31"/>
      <c r="BA615" s="32"/>
      <c r="BB615" s="32"/>
    </row>
    <row r="616" spans="20:54" ht="12.75" x14ac:dyDescent="0.2">
      <c r="T616" s="29"/>
      <c r="U616" s="29"/>
      <c r="AD616" s="30"/>
      <c r="AE616" s="30"/>
      <c r="AO616" s="31"/>
      <c r="AP616" s="31"/>
      <c r="BA616" s="32"/>
      <c r="BB616" s="32"/>
    </row>
    <row r="617" spans="20:54" ht="12.75" x14ac:dyDescent="0.2">
      <c r="T617" s="29"/>
      <c r="U617" s="29"/>
      <c r="AD617" s="30"/>
      <c r="AE617" s="30"/>
      <c r="AO617" s="31"/>
      <c r="AP617" s="31"/>
      <c r="BA617" s="32"/>
      <c r="BB617" s="32"/>
    </row>
    <row r="618" spans="20:54" ht="12.75" x14ac:dyDescent="0.2">
      <c r="T618" s="29"/>
      <c r="U618" s="29"/>
      <c r="AD618" s="30"/>
      <c r="AE618" s="30"/>
      <c r="AO618" s="31"/>
      <c r="AP618" s="31"/>
      <c r="BA618" s="32"/>
      <c r="BB618" s="32"/>
    </row>
    <row r="619" spans="20:54" ht="12.75" x14ac:dyDescent="0.2">
      <c r="T619" s="29"/>
      <c r="U619" s="29"/>
      <c r="AD619" s="30"/>
      <c r="AE619" s="30"/>
      <c r="AO619" s="31"/>
      <c r="AP619" s="31"/>
      <c r="BA619" s="32"/>
      <c r="BB619" s="32"/>
    </row>
    <row r="620" spans="20:54" ht="12.75" x14ac:dyDescent="0.2">
      <c r="T620" s="29"/>
      <c r="U620" s="29"/>
      <c r="AD620" s="30"/>
      <c r="AE620" s="30"/>
      <c r="AO620" s="31"/>
      <c r="AP620" s="31"/>
      <c r="BA620" s="32"/>
      <c r="BB620" s="32"/>
    </row>
    <row r="621" spans="20:54" ht="12.75" x14ac:dyDescent="0.2">
      <c r="T621" s="29"/>
      <c r="U621" s="29"/>
      <c r="AD621" s="30"/>
      <c r="AE621" s="30"/>
      <c r="AO621" s="31"/>
      <c r="AP621" s="31"/>
      <c r="BA621" s="32"/>
      <c r="BB621" s="32"/>
    </row>
    <row r="622" spans="20:54" ht="12.75" x14ac:dyDescent="0.2">
      <c r="T622" s="29"/>
      <c r="U622" s="29"/>
      <c r="AD622" s="30"/>
      <c r="AE622" s="30"/>
      <c r="AO622" s="31"/>
      <c r="AP622" s="31"/>
      <c r="BA622" s="32"/>
      <c r="BB622" s="32"/>
    </row>
    <row r="623" spans="20:54" ht="12.75" x14ac:dyDescent="0.2">
      <c r="T623" s="29"/>
      <c r="U623" s="29"/>
      <c r="AD623" s="30"/>
      <c r="AE623" s="30"/>
      <c r="AO623" s="31"/>
      <c r="AP623" s="31"/>
      <c r="BA623" s="32"/>
      <c r="BB623" s="32"/>
    </row>
    <row r="624" spans="20:54" ht="12.75" x14ac:dyDescent="0.2">
      <c r="T624" s="29"/>
      <c r="U624" s="29"/>
      <c r="AD624" s="30"/>
      <c r="AE624" s="30"/>
      <c r="AO624" s="31"/>
      <c r="AP624" s="31"/>
      <c r="BA624" s="32"/>
      <c r="BB624" s="32"/>
    </row>
    <row r="625" spans="20:54" ht="12.75" x14ac:dyDescent="0.2">
      <c r="T625" s="29"/>
      <c r="U625" s="29"/>
      <c r="AD625" s="30"/>
      <c r="AE625" s="30"/>
      <c r="AO625" s="31"/>
      <c r="AP625" s="31"/>
      <c r="BA625" s="32"/>
      <c r="BB625" s="32"/>
    </row>
    <row r="626" spans="20:54" ht="12.75" x14ac:dyDescent="0.2">
      <c r="T626" s="29"/>
      <c r="U626" s="29"/>
      <c r="AD626" s="30"/>
      <c r="AE626" s="30"/>
      <c r="AO626" s="31"/>
      <c r="AP626" s="31"/>
      <c r="BA626" s="32"/>
      <c r="BB626" s="32"/>
    </row>
    <row r="627" spans="20:54" ht="12.75" x14ac:dyDescent="0.2">
      <c r="T627" s="29"/>
      <c r="U627" s="29"/>
      <c r="AD627" s="30"/>
      <c r="AE627" s="30"/>
      <c r="AO627" s="31"/>
      <c r="AP627" s="31"/>
      <c r="BA627" s="32"/>
      <c r="BB627" s="32"/>
    </row>
    <row r="628" spans="20:54" ht="12.75" x14ac:dyDescent="0.2">
      <c r="T628" s="29"/>
      <c r="U628" s="29"/>
      <c r="AD628" s="30"/>
      <c r="AE628" s="30"/>
      <c r="AO628" s="31"/>
      <c r="AP628" s="31"/>
      <c r="BA628" s="32"/>
      <c r="BB628" s="32"/>
    </row>
    <row r="629" spans="20:54" ht="12.75" x14ac:dyDescent="0.2">
      <c r="T629" s="29"/>
      <c r="U629" s="29"/>
      <c r="AD629" s="30"/>
      <c r="AE629" s="30"/>
      <c r="AO629" s="31"/>
      <c r="AP629" s="31"/>
      <c r="BA629" s="32"/>
      <c r="BB629" s="32"/>
    </row>
    <row r="630" spans="20:54" ht="12.75" x14ac:dyDescent="0.2">
      <c r="T630" s="29"/>
      <c r="U630" s="29"/>
      <c r="AD630" s="30"/>
      <c r="AE630" s="30"/>
      <c r="AO630" s="31"/>
      <c r="AP630" s="31"/>
      <c r="BA630" s="32"/>
      <c r="BB630" s="32"/>
    </row>
    <row r="631" spans="20:54" ht="12.75" x14ac:dyDescent="0.2">
      <c r="T631" s="29"/>
      <c r="U631" s="29"/>
      <c r="AD631" s="30"/>
      <c r="AE631" s="30"/>
      <c r="AO631" s="31"/>
      <c r="AP631" s="31"/>
      <c r="BA631" s="32"/>
      <c r="BB631" s="32"/>
    </row>
    <row r="632" spans="20:54" ht="12.75" x14ac:dyDescent="0.2">
      <c r="T632" s="29"/>
      <c r="U632" s="29"/>
      <c r="AD632" s="30"/>
      <c r="AE632" s="30"/>
      <c r="AO632" s="31"/>
      <c r="AP632" s="31"/>
      <c r="BA632" s="32"/>
      <c r="BB632" s="32"/>
    </row>
    <row r="633" spans="20:54" ht="12.75" x14ac:dyDescent="0.2">
      <c r="T633" s="29"/>
      <c r="U633" s="29"/>
      <c r="AD633" s="30"/>
      <c r="AE633" s="30"/>
      <c r="AO633" s="31"/>
      <c r="AP633" s="31"/>
      <c r="BA633" s="32"/>
      <c r="BB633" s="32"/>
    </row>
    <row r="634" spans="20:54" ht="12.75" x14ac:dyDescent="0.2">
      <c r="T634" s="29"/>
      <c r="U634" s="29"/>
      <c r="AD634" s="30"/>
      <c r="AE634" s="30"/>
      <c r="AO634" s="31"/>
      <c r="AP634" s="31"/>
      <c r="BA634" s="32"/>
      <c r="BB634" s="32"/>
    </row>
    <row r="635" spans="20:54" ht="12.75" x14ac:dyDescent="0.2">
      <c r="T635" s="29"/>
      <c r="U635" s="29"/>
      <c r="AD635" s="30"/>
      <c r="AE635" s="30"/>
      <c r="AO635" s="31"/>
      <c r="AP635" s="31"/>
      <c r="BA635" s="32"/>
      <c r="BB635" s="32"/>
    </row>
    <row r="636" spans="20:54" ht="12.75" x14ac:dyDescent="0.2">
      <c r="T636" s="29"/>
      <c r="U636" s="29"/>
      <c r="AD636" s="30"/>
      <c r="AE636" s="30"/>
      <c r="AO636" s="31"/>
      <c r="AP636" s="31"/>
      <c r="BA636" s="32"/>
      <c r="BB636" s="32"/>
    </row>
    <row r="637" spans="20:54" ht="12.75" x14ac:dyDescent="0.2">
      <c r="T637" s="29"/>
      <c r="U637" s="29"/>
      <c r="AD637" s="30"/>
      <c r="AE637" s="30"/>
      <c r="AO637" s="31"/>
      <c r="AP637" s="31"/>
      <c r="BA637" s="32"/>
      <c r="BB637" s="32"/>
    </row>
    <row r="638" spans="20:54" ht="12.75" x14ac:dyDescent="0.2">
      <c r="T638" s="29"/>
      <c r="U638" s="29"/>
      <c r="AD638" s="30"/>
      <c r="AE638" s="30"/>
      <c r="AO638" s="31"/>
      <c r="AP638" s="31"/>
      <c r="BA638" s="32"/>
      <c r="BB638" s="32"/>
    </row>
    <row r="639" spans="20:54" ht="12.75" x14ac:dyDescent="0.2">
      <c r="T639" s="29"/>
      <c r="U639" s="29"/>
      <c r="AD639" s="30"/>
      <c r="AE639" s="30"/>
      <c r="AO639" s="31"/>
      <c r="AP639" s="31"/>
      <c r="BA639" s="32"/>
      <c r="BB639" s="32"/>
    </row>
    <row r="640" spans="20:54" ht="12.75" x14ac:dyDescent="0.2">
      <c r="T640" s="29"/>
      <c r="U640" s="29"/>
      <c r="AD640" s="30"/>
      <c r="AE640" s="30"/>
      <c r="AO640" s="31"/>
      <c r="AP640" s="31"/>
      <c r="BA640" s="32"/>
      <c r="BB640" s="32"/>
    </row>
    <row r="641" spans="20:54" ht="12.75" x14ac:dyDescent="0.2">
      <c r="T641" s="29"/>
      <c r="U641" s="29"/>
      <c r="AD641" s="30"/>
      <c r="AE641" s="30"/>
      <c r="AO641" s="31"/>
      <c r="AP641" s="31"/>
      <c r="BA641" s="32"/>
      <c r="BB641" s="32"/>
    </row>
    <row r="642" spans="20:54" ht="12.75" x14ac:dyDescent="0.2">
      <c r="T642" s="29"/>
      <c r="U642" s="29"/>
      <c r="AD642" s="30"/>
      <c r="AE642" s="30"/>
      <c r="AO642" s="31"/>
      <c r="AP642" s="31"/>
      <c r="BA642" s="32"/>
      <c r="BB642" s="32"/>
    </row>
    <row r="643" spans="20:54" ht="12.75" x14ac:dyDescent="0.2">
      <c r="T643" s="29"/>
      <c r="U643" s="29"/>
      <c r="AD643" s="30"/>
      <c r="AE643" s="30"/>
      <c r="AO643" s="31"/>
      <c r="AP643" s="31"/>
      <c r="BA643" s="32"/>
      <c r="BB643" s="32"/>
    </row>
    <row r="644" spans="20:54" ht="12.75" x14ac:dyDescent="0.2">
      <c r="T644" s="29"/>
      <c r="U644" s="29"/>
      <c r="AD644" s="30"/>
      <c r="AE644" s="30"/>
      <c r="AO644" s="31"/>
      <c r="AP644" s="31"/>
      <c r="BA644" s="32"/>
      <c r="BB644" s="32"/>
    </row>
    <row r="645" spans="20:54" ht="12.75" x14ac:dyDescent="0.2">
      <c r="T645" s="29"/>
      <c r="U645" s="29"/>
      <c r="AD645" s="30"/>
      <c r="AE645" s="30"/>
      <c r="AO645" s="31"/>
      <c r="AP645" s="31"/>
      <c r="BA645" s="32"/>
      <c r="BB645" s="32"/>
    </row>
    <row r="646" spans="20:54" ht="12.75" x14ac:dyDescent="0.2">
      <c r="T646" s="29"/>
      <c r="U646" s="29"/>
      <c r="AD646" s="30"/>
      <c r="AE646" s="30"/>
      <c r="AO646" s="31"/>
      <c r="AP646" s="31"/>
      <c r="BA646" s="32"/>
      <c r="BB646" s="32"/>
    </row>
    <row r="647" spans="20:54" ht="12.75" x14ac:dyDescent="0.2">
      <c r="T647" s="29"/>
      <c r="U647" s="29"/>
      <c r="AD647" s="30"/>
      <c r="AE647" s="30"/>
      <c r="AO647" s="31"/>
      <c r="AP647" s="31"/>
      <c r="BA647" s="32"/>
      <c r="BB647" s="32"/>
    </row>
    <row r="648" spans="20:54" ht="12.75" x14ac:dyDescent="0.2">
      <c r="T648" s="29"/>
      <c r="U648" s="29"/>
      <c r="AD648" s="30"/>
      <c r="AE648" s="30"/>
      <c r="AO648" s="31"/>
      <c r="AP648" s="31"/>
      <c r="BA648" s="32"/>
      <c r="BB648" s="32"/>
    </row>
    <row r="649" spans="20:54" ht="12.75" x14ac:dyDescent="0.2">
      <c r="T649" s="29"/>
      <c r="U649" s="29"/>
      <c r="AD649" s="30"/>
      <c r="AE649" s="30"/>
      <c r="AO649" s="31"/>
      <c r="AP649" s="31"/>
      <c r="BA649" s="32"/>
      <c r="BB649" s="32"/>
    </row>
    <row r="650" spans="20:54" ht="12.75" x14ac:dyDescent="0.2">
      <c r="T650" s="29"/>
      <c r="U650" s="29"/>
      <c r="AD650" s="30"/>
      <c r="AE650" s="30"/>
      <c r="AO650" s="31"/>
      <c r="AP650" s="31"/>
      <c r="BA650" s="32"/>
      <c r="BB650" s="32"/>
    </row>
    <row r="651" spans="20:54" ht="12.75" x14ac:dyDescent="0.2">
      <c r="T651" s="29"/>
      <c r="U651" s="29"/>
      <c r="AD651" s="30"/>
      <c r="AE651" s="30"/>
      <c r="AO651" s="31"/>
      <c r="AP651" s="31"/>
      <c r="BA651" s="32"/>
      <c r="BB651" s="32"/>
    </row>
    <row r="652" spans="20:54" ht="12.75" x14ac:dyDescent="0.2">
      <c r="T652" s="29"/>
      <c r="U652" s="29"/>
      <c r="AD652" s="30"/>
      <c r="AE652" s="30"/>
      <c r="AO652" s="31"/>
      <c r="AP652" s="31"/>
      <c r="BA652" s="32"/>
      <c r="BB652" s="32"/>
    </row>
    <row r="653" spans="20:54" ht="12.75" x14ac:dyDescent="0.2">
      <c r="T653" s="29"/>
      <c r="U653" s="29"/>
      <c r="AD653" s="30"/>
      <c r="AE653" s="30"/>
      <c r="AO653" s="31"/>
      <c r="AP653" s="31"/>
      <c r="BA653" s="32"/>
      <c r="BB653" s="32"/>
    </row>
    <row r="654" spans="20:54" ht="12.75" x14ac:dyDescent="0.2">
      <c r="T654" s="29"/>
      <c r="U654" s="29"/>
      <c r="AD654" s="30"/>
      <c r="AE654" s="30"/>
      <c r="AO654" s="31"/>
      <c r="AP654" s="31"/>
      <c r="BA654" s="32"/>
      <c r="BB654" s="32"/>
    </row>
    <row r="655" spans="20:54" ht="12.75" x14ac:dyDescent="0.2">
      <c r="T655" s="29"/>
      <c r="U655" s="29"/>
      <c r="AD655" s="30"/>
      <c r="AE655" s="30"/>
      <c r="AO655" s="31"/>
      <c r="AP655" s="31"/>
      <c r="BA655" s="32"/>
      <c r="BB655" s="32"/>
    </row>
    <row r="656" spans="20:54" ht="12.75" x14ac:dyDescent="0.2">
      <c r="T656" s="29"/>
      <c r="U656" s="29"/>
      <c r="AD656" s="30"/>
      <c r="AE656" s="30"/>
      <c r="AO656" s="31"/>
      <c r="AP656" s="31"/>
      <c r="BA656" s="32"/>
      <c r="BB656" s="32"/>
    </row>
    <row r="657" spans="20:54" ht="12.75" x14ac:dyDescent="0.2">
      <c r="T657" s="29"/>
      <c r="U657" s="29"/>
      <c r="AD657" s="30"/>
      <c r="AE657" s="30"/>
      <c r="AO657" s="31"/>
      <c r="AP657" s="31"/>
      <c r="BA657" s="32"/>
      <c r="BB657" s="32"/>
    </row>
    <row r="658" spans="20:54" ht="12.75" x14ac:dyDescent="0.2">
      <c r="T658" s="29"/>
      <c r="U658" s="29"/>
      <c r="AD658" s="30"/>
      <c r="AE658" s="30"/>
      <c r="AO658" s="31"/>
      <c r="AP658" s="31"/>
      <c r="BA658" s="32"/>
      <c r="BB658" s="32"/>
    </row>
    <row r="659" spans="20:54" ht="12.75" x14ac:dyDescent="0.2">
      <c r="T659" s="29"/>
      <c r="U659" s="29"/>
      <c r="AD659" s="30"/>
      <c r="AE659" s="30"/>
      <c r="AO659" s="31"/>
      <c r="AP659" s="31"/>
      <c r="BA659" s="32"/>
      <c r="BB659" s="32"/>
    </row>
    <row r="660" spans="20:54" ht="12.75" x14ac:dyDescent="0.2">
      <c r="T660" s="29"/>
      <c r="U660" s="29"/>
      <c r="AD660" s="30"/>
      <c r="AE660" s="30"/>
      <c r="AO660" s="31"/>
      <c r="AP660" s="31"/>
      <c r="BA660" s="32"/>
      <c r="BB660" s="32"/>
    </row>
    <row r="661" spans="20:54" ht="12.75" x14ac:dyDescent="0.2">
      <c r="T661" s="29"/>
      <c r="U661" s="29"/>
      <c r="AD661" s="30"/>
      <c r="AE661" s="30"/>
      <c r="AO661" s="31"/>
      <c r="AP661" s="31"/>
      <c r="BA661" s="32"/>
      <c r="BB661" s="32"/>
    </row>
    <row r="662" spans="20:54" ht="12.75" x14ac:dyDescent="0.2">
      <c r="T662" s="29"/>
      <c r="U662" s="29"/>
      <c r="AD662" s="30"/>
      <c r="AE662" s="30"/>
      <c r="AO662" s="31"/>
      <c r="AP662" s="31"/>
      <c r="BA662" s="32"/>
      <c r="BB662" s="32"/>
    </row>
    <row r="663" spans="20:54" ht="12.75" x14ac:dyDescent="0.2">
      <c r="T663" s="29"/>
      <c r="U663" s="29"/>
      <c r="AD663" s="30"/>
      <c r="AE663" s="30"/>
      <c r="AO663" s="31"/>
      <c r="AP663" s="31"/>
      <c r="BA663" s="32"/>
      <c r="BB663" s="32"/>
    </row>
    <row r="664" spans="20:54" ht="12.75" x14ac:dyDescent="0.2">
      <c r="T664" s="29"/>
      <c r="U664" s="29"/>
      <c r="AD664" s="30"/>
      <c r="AE664" s="30"/>
      <c r="AO664" s="31"/>
      <c r="AP664" s="31"/>
      <c r="BA664" s="32"/>
      <c r="BB664" s="32"/>
    </row>
    <row r="665" spans="20:54" ht="12.75" x14ac:dyDescent="0.2">
      <c r="T665" s="29"/>
      <c r="U665" s="29"/>
      <c r="AD665" s="30"/>
      <c r="AE665" s="30"/>
      <c r="AO665" s="31"/>
      <c r="AP665" s="31"/>
      <c r="BA665" s="32"/>
      <c r="BB665" s="32"/>
    </row>
    <row r="666" spans="20:54" ht="12.75" x14ac:dyDescent="0.2">
      <c r="T666" s="29"/>
      <c r="U666" s="29"/>
      <c r="AD666" s="30"/>
      <c r="AE666" s="30"/>
      <c r="AO666" s="31"/>
      <c r="AP666" s="31"/>
      <c r="BA666" s="32"/>
      <c r="BB666" s="32"/>
    </row>
    <row r="667" spans="20:54" ht="12.75" x14ac:dyDescent="0.2">
      <c r="T667" s="29"/>
      <c r="U667" s="29"/>
      <c r="AD667" s="30"/>
      <c r="AE667" s="30"/>
      <c r="AO667" s="31"/>
      <c r="AP667" s="31"/>
      <c r="BA667" s="32"/>
      <c r="BB667" s="32"/>
    </row>
    <row r="668" spans="20:54" ht="12.75" x14ac:dyDescent="0.2">
      <c r="T668" s="29"/>
      <c r="U668" s="29"/>
      <c r="AD668" s="30"/>
      <c r="AE668" s="30"/>
      <c r="AO668" s="31"/>
      <c r="AP668" s="31"/>
      <c r="BA668" s="32"/>
      <c r="BB668" s="32"/>
    </row>
    <row r="669" spans="20:54" ht="12.75" x14ac:dyDescent="0.2">
      <c r="T669" s="29"/>
      <c r="U669" s="29"/>
      <c r="AD669" s="30"/>
      <c r="AE669" s="30"/>
      <c r="AO669" s="31"/>
      <c r="AP669" s="31"/>
      <c r="BA669" s="32"/>
      <c r="BB669" s="32"/>
    </row>
    <row r="670" spans="20:54" ht="12.75" x14ac:dyDescent="0.2">
      <c r="T670" s="29"/>
      <c r="U670" s="29"/>
      <c r="AD670" s="30"/>
      <c r="AE670" s="30"/>
      <c r="AO670" s="31"/>
      <c r="AP670" s="31"/>
      <c r="BA670" s="32"/>
      <c r="BB670" s="32"/>
    </row>
    <row r="671" spans="20:54" ht="12.75" x14ac:dyDescent="0.2">
      <c r="T671" s="29"/>
      <c r="U671" s="29"/>
      <c r="AD671" s="30"/>
      <c r="AE671" s="30"/>
      <c r="AO671" s="31"/>
      <c r="AP671" s="31"/>
      <c r="BA671" s="32"/>
      <c r="BB671" s="32"/>
    </row>
    <row r="672" spans="20:54" ht="12.75" x14ac:dyDescent="0.2">
      <c r="T672" s="29"/>
      <c r="U672" s="29"/>
      <c r="AD672" s="30"/>
      <c r="AE672" s="30"/>
      <c r="AO672" s="31"/>
      <c r="AP672" s="31"/>
      <c r="BA672" s="32"/>
      <c r="BB672" s="32"/>
    </row>
    <row r="673" spans="20:54" ht="12.75" x14ac:dyDescent="0.2">
      <c r="T673" s="29"/>
      <c r="U673" s="29"/>
      <c r="AD673" s="30"/>
      <c r="AE673" s="30"/>
      <c r="AO673" s="31"/>
      <c r="AP673" s="31"/>
      <c r="BA673" s="32"/>
      <c r="BB673" s="32"/>
    </row>
    <row r="674" spans="20:54" ht="12.75" x14ac:dyDescent="0.2">
      <c r="T674" s="29"/>
      <c r="U674" s="29"/>
      <c r="AD674" s="30"/>
      <c r="AE674" s="30"/>
      <c r="AO674" s="31"/>
      <c r="AP674" s="31"/>
      <c r="BA674" s="32"/>
      <c r="BB674" s="32"/>
    </row>
    <row r="675" spans="20:54" ht="12.75" x14ac:dyDescent="0.2">
      <c r="T675" s="29"/>
      <c r="U675" s="29"/>
      <c r="AD675" s="30"/>
      <c r="AE675" s="30"/>
      <c r="AO675" s="31"/>
      <c r="AP675" s="31"/>
      <c r="BA675" s="32"/>
      <c r="BB675" s="32"/>
    </row>
    <row r="676" spans="20:54" ht="12.75" x14ac:dyDescent="0.2">
      <c r="T676" s="29"/>
      <c r="U676" s="29"/>
      <c r="AD676" s="30"/>
      <c r="AE676" s="30"/>
      <c r="AO676" s="31"/>
      <c r="AP676" s="31"/>
      <c r="BA676" s="32"/>
      <c r="BB676" s="32"/>
    </row>
    <row r="677" spans="20:54" ht="12.75" x14ac:dyDescent="0.2">
      <c r="T677" s="29"/>
      <c r="U677" s="29"/>
      <c r="AD677" s="30"/>
      <c r="AE677" s="30"/>
      <c r="AO677" s="31"/>
      <c r="AP677" s="31"/>
      <c r="BA677" s="32"/>
      <c r="BB677" s="32"/>
    </row>
    <row r="678" spans="20:54" ht="12.75" x14ac:dyDescent="0.2">
      <c r="T678" s="29"/>
      <c r="U678" s="29"/>
      <c r="AD678" s="30"/>
      <c r="AE678" s="30"/>
      <c r="AO678" s="31"/>
      <c r="AP678" s="31"/>
      <c r="BA678" s="32"/>
      <c r="BB678" s="32"/>
    </row>
    <row r="679" spans="20:54" ht="12.75" x14ac:dyDescent="0.2">
      <c r="T679" s="29"/>
      <c r="U679" s="29"/>
      <c r="AD679" s="30"/>
      <c r="AE679" s="30"/>
      <c r="AO679" s="31"/>
      <c r="AP679" s="31"/>
      <c r="BA679" s="32"/>
      <c r="BB679" s="32"/>
    </row>
    <row r="680" spans="20:54" ht="12.75" x14ac:dyDescent="0.2">
      <c r="T680" s="29"/>
      <c r="U680" s="29"/>
      <c r="AD680" s="30"/>
      <c r="AE680" s="30"/>
      <c r="AO680" s="31"/>
      <c r="AP680" s="31"/>
      <c r="BA680" s="32"/>
      <c r="BB680" s="32"/>
    </row>
    <row r="681" spans="20:54" ht="12.75" x14ac:dyDescent="0.2">
      <c r="T681" s="29"/>
      <c r="U681" s="29"/>
      <c r="AD681" s="30"/>
      <c r="AE681" s="30"/>
      <c r="AO681" s="31"/>
      <c r="AP681" s="31"/>
      <c r="BA681" s="32"/>
      <c r="BB681" s="32"/>
    </row>
    <row r="682" spans="20:54" ht="12.75" x14ac:dyDescent="0.2">
      <c r="T682" s="29"/>
      <c r="U682" s="29"/>
      <c r="AD682" s="30"/>
      <c r="AE682" s="30"/>
      <c r="AO682" s="31"/>
      <c r="AP682" s="31"/>
      <c r="BA682" s="32"/>
      <c r="BB682" s="32"/>
    </row>
    <row r="683" spans="20:54" ht="12.75" x14ac:dyDescent="0.2">
      <c r="T683" s="29"/>
      <c r="U683" s="29"/>
      <c r="AD683" s="30"/>
      <c r="AE683" s="30"/>
      <c r="AO683" s="31"/>
      <c r="AP683" s="31"/>
      <c r="BA683" s="32"/>
      <c r="BB683" s="32"/>
    </row>
    <row r="684" spans="20:54" ht="12.75" x14ac:dyDescent="0.2">
      <c r="T684" s="29"/>
      <c r="U684" s="29"/>
      <c r="AD684" s="30"/>
      <c r="AE684" s="30"/>
      <c r="AO684" s="31"/>
      <c r="AP684" s="31"/>
      <c r="BA684" s="32"/>
      <c r="BB684" s="32"/>
    </row>
    <row r="685" spans="20:54" ht="12.75" x14ac:dyDescent="0.2">
      <c r="T685" s="29"/>
      <c r="U685" s="29"/>
      <c r="AD685" s="30"/>
      <c r="AE685" s="30"/>
      <c r="AO685" s="31"/>
      <c r="AP685" s="31"/>
      <c r="BA685" s="32"/>
      <c r="BB685" s="32"/>
    </row>
    <row r="686" spans="20:54" ht="12.75" x14ac:dyDescent="0.2">
      <c r="T686" s="29"/>
      <c r="U686" s="29"/>
      <c r="AD686" s="30"/>
      <c r="AE686" s="30"/>
      <c r="AO686" s="31"/>
      <c r="AP686" s="31"/>
      <c r="BA686" s="32"/>
      <c r="BB686" s="32"/>
    </row>
    <row r="687" spans="20:54" ht="12.75" x14ac:dyDescent="0.2">
      <c r="T687" s="29"/>
      <c r="U687" s="29"/>
      <c r="AD687" s="30"/>
      <c r="AE687" s="30"/>
      <c r="AO687" s="31"/>
      <c r="AP687" s="31"/>
      <c r="BA687" s="32"/>
      <c r="BB687" s="32"/>
    </row>
    <row r="688" spans="20:54" ht="12.75" x14ac:dyDescent="0.2">
      <c r="T688" s="29"/>
      <c r="U688" s="29"/>
      <c r="AD688" s="30"/>
      <c r="AE688" s="30"/>
      <c r="AO688" s="31"/>
      <c r="AP688" s="31"/>
      <c r="BA688" s="32"/>
      <c r="BB688" s="32"/>
    </row>
    <row r="689" spans="20:54" ht="12.75" x14ac:dyDescent="0.2">
      <c r="T689" s="29"/>
      <c r="U689" s="29"/>
      <c r="AD689" s="30"/>
      <c r="AE689" s="30"/>
      <c r="AO689" s="31"/>
      <c r="AP689" s="31"/>
      <c r="BA689" s="32"/>
      <c r="BB689" s="32"/>
    </row>
    <row r="690" spans="20:54" ht="12.75" x14ac:dyDescent="0.2">
      <c r="T690" s="29"/>
      <c r="U690" s="29"/>
      <c r="AD690" s="30"/>
      <c r="AE690" s="30"/>
      <c r="AO690" s="31"/>
      <c r="AP690" s="31"/>
      <c r="BA690" s="32"/>
      <c r="BB690" s="32"/>
    </row>
    <row r="691" spans="20:54" ht="12.75" x14ac:dyDescent="0.2">
      <c r="T691" s="29"/>
      <c r="U691" s="29"/>
      <c r="AD691" s="30"/>
      <c r="AE691" s="30"/>
      <c r="AO691" s="31"/>
      <c r="AP691" s="31"/>
      <c r="BA691" s="32"/>
      <c r="BB691" s="32"/>
    </row>
    <row r="692" spans="20:54" ht="12.75" x14ac:dyDescent="0.2">
      <c r="T692" s="29"/>
      <c r="U692" s="29"/>
      <c r="AD692" s="30"/>
      <c r="AE692" s="30"/>
      <c r="AO692" s="31"/>
      <c r="AP692" s="31"/>
      <c r="BA692" s="32"/>
      <c r="BB692" s="32"/>
    </row>
    <row r="693" spans="20:54" ht="12.75" x14ac:dyDescent="0.2">
      <c r="T693" s="29"/>
      <c r="U693" s="29"/>
      <c r="AD693" s="30"/>
      <c r="AE693" s="30"/>
      <c r="AO693" s="31"/>
      <c r="AP693" s="31"/>
      <c r="BA693" s="32"/>
      <c r="BB693" s="32"/>
    </row>
    <row r="694" spans="20:54" ht="12.75" x14ac:dyDescent="0.2">
      <c r="T694" s="29"/>
      <c r="U694" s="29"/>
      <c r="AD694" s="30"/>
      <c r="AE694" s="30"/>
      <c r="AO694" s="31"/>
      <c r="AP694" s="31"/>
      <c r="BA694" s="32"/>
      <c r="BB694" s="32"/>
    </row>
    <row r="695" spans="20:54" ht="12.75" x14ac:dyDescent="0.2">
      <c r="T695" s="29"/>
      <c r="U695" s="29"/>
      <c r="AD695" s="30"/>
      <c r="AE695" s="30"/>
      <c r="AO695" s="31"/>
      <c r="AP695" s="31"/>
      <c r="BA695" s="32"/>
      <c r="BB695" s="32"/>
    </row>
    <row r="696" spans="20:54" ht="12.75" x14ac:dyDescent="0.2">
      <c r="T696" s="29"/>
      <c r="U696" s="29"/>
      <c r="AD696" s="30"/>
      <c r="AE696" s="30"/>
      <c r="AO696" s="31"/>
      <c r="AP696" s="31"/>
      <c r="BA696" s="32"/>
      <c r="BB696" s="32"/>
    </row>
    <row r="697" spans="20:54" ht="12.75" x14ac:dyDescent="0.2">
      <c r="T697" s="29"/>
      <c r="U697" s="29"/>
      <c r="AD697" s="30"/>
      <c r="AE697" s="30"/>
      <c r="AO697" s="31"/>
      <c r="AP697" s="31"/>
      <c r="BA697" s="32"/>
      <c r="BB697" s="32"/>
    </row>
    <row r="698" spans="20:54" ht="12.75" x14ac:dyDescent="0.2">
      <c r="T698" s="29"/>
      <c r="U698" s="29"/>
      <c r="AD698" s="30"/>
      <c r="AE698" s="30"/>
      <c r="AO698" s="31"/>
      <c r="AP698" s="31"/>
      <c r="BA698" s="32"/>
      <c r="BB698" s="32"/>
    </row>
    <row r="699" spans="20:54" ht="12.75" x14ac:dyDescent="0.2">
      <c r="T699" s="29"/>
      <c r="U699" s="29"/>
      <c r="AD699" s="30"/>
      <c r="AE699" s="30"/>
      <c r="AO699" s="31"/>
      <c r="AP699" s="31"/>
      <c r="BA699" s="32"/>
      <c r="BB699" s="32"/>
    </row>
    <row r="700" spans="20:54" ht="12.75" x14ac:dyDescent="0.2">
      <c r="T700" s="29"/>
      <c r="U700" s="29"/>
      <c r="AD700" s="30"/>
      <c r="AE700" s="30"/>
      <c r="AO700" s="31"/>
      <c r="AP700" s="31"/>
      <c r="BA700" s="32"/>
      <c r="BB700" s="32"/>
    </row>
    <row r="701" spans="20:54" ht="12.75" x14ac:dyDescent="0.2">
      <c r="T701" s="29"/>
      <c r="U701" s="29"/>
      <c r="AD701" s="30"/>
      <c r="AE701" s="30"/>
      <c r="AO701" s="31"/>
      <c r="AP701" s="31"/>
      <c r="BA701" s="32"/>
      <c r="BB701" s="32"/>
    </row>
    <row r="702" spans="20:54" ht="12.75" x14ac:dyDescent="0.2">
      <c r="T702" s="29"/>
      <c r="U702" s="29"/>
      <c r="AD702" s="30"/>
      <c r="AE702" s="30"/>
      <c r="AO702" s="31"/>
      <c r="AP702" s="31"/>
      <c r="BA702" s="32"/>
      <c r="BB702" s="32"/>
    </row>
    <row r="703" spans="20:54" ht="12.75" x14ac:dyDescent="0.2">
      <c r="T703" s="29"/>
      <c r="U703" s="29"/>
      <c r="AD703" s="30"/>
      <c r="AE703" s="30"/>
      <c r="AO703" s="31"/>
      <c r="AP703" s="31"/>
      <c r="BA703" s="32"/>
      <c r="BB703" s="32"/>
    </row>
    <row r="704" spans="20:54" ht="12.75" x14ac:dyDescent="0.2">
      <c r="T704" s="29"/>
      <c r="U704" s="29"/>
      <c r="AD704" s="30"/>
      <c r="AE704" s="30"/>
      <c r="AO704" s="31"/>
      <c r="AP704" s="31"/>
      <c r="BA704" s="32"/>
      <c r="BB704" s="32"/>
    </row>
    <row r="705" spans="20:54" ht="12.75" x14ac:dyDescent="0.2">
      <c r="T705" s="29"/>
      <c r="U705" s="29"/>
      <c r="AD705" s="30"/>
      <c r="AE705" s="30"/>
      <c r="AO705" s="31"/>
      <c r="AP705" s="31"/>
      <c r="BA705" s="32"/>
      <c r="BB705" s="32"/>
    </row>
    <row r="706" spans="20:54" ht="12.75" x14ac:dyDescent="0.2">
      <c r="T706" s="29"/>
      <c r="U706" s="29"/>
      <c r="AD706" s="30"/>
      <c r="AE706" s="30"/>
      <c r="AO706" s="31"/>
      <c r="AP706" s="31"/>
      <c r="BA706" s="32"/>
      <c r="BB706" s="32"/>
    </row>
    <row r="707" spans="20:54" ht="12.75" x14ac:dyDescent="0.2">
      <c r="T707" s="29"/>
      <c r="U707" s="29"/>
      <c r="AD707" s="30"/>
      <c r="AE707" s="30"/>
      <c r="AO707" s="31"/>
      <c r="AP707" s="31"/>
      <c r="BA707" s="32"/>
      <c r="BB707" s="32"/>
    </row>
    <row r="708" spans="20:54" ht="12.75" x14ac:dyDescent="0.2">
      <c r="T708" s="29"/>
      <c r="U708" s="29"/>
      <c r="AD708" s="30"/>
      <c r="AE708" s="30"/>
      <c r="AO708" s="31"/>
      <c r="AP708" s="31"/>
      <c r="BA708" s="32"/>
      <c r="BB708" s="32"/>
    </row>
    <row r="709" spans="20:54" ht="12.75" x14ac:dyDescent="0.2">
      <c r="T709" s="29"/>
      <c r="U709" s="29"/>
      <c r="AD709" s="30"/>
      <c r="AE709" s="30"/>
      <c r="AO709" s="31"/>
      <c r="AP709" s="31"/>
      <c r="BA709" s="32"/>
      <c r="BB709" s="32"/>
    </row>
    <row r="710" spans="20:54" ht="12.75" x14ac:dyDescent="0.2">
      <c r="T710" s="29"/>
      <c r="U710" s="29"/>
      <c r="AD710" s="30"/>
      <c r="AE710" s="30"/>
      <c r="AO710" s="31"/>
      <c r="AP710" s="31"/>
      <c r="BA710" s="32"/>
      <c r="BB710" s="32"/>
    </row>
    <row r="711" spans="20:54" ht="12.75" x14ac:dyDescent="0.2">
      <c r="T711" s="29"/>
      <c r="U711" s="29"/>
      <c r="AD711" s="30"/>
      <c r="AE711" s="30"/>
      <c r="AO711" s="31"/>
      <c r="AP711" s="31"/>
      <c r="BA711" s="32"/>
      <c r="BB711" s="32"/>
    </row>
    <row r="712" spans="20:54" ht="12.75" x14ac:dyDescent="0.2">
      <c r="T712" s="29"/>
      <c r="U712" s="29"/>
      <c r="AD712" s="30"/>
      <c r="AE712" s="30"/>
      <c r="AO712" s="31"/>
      <c r="AP712" s="31"/>
      <c r="BA712" s="32"/>
      <c r="BB712" s="32"/>
    </row>
    <row r="713" spans="20:54" ht="12.75" x14ac:dyDescent="0.2">
      <c r="T713" s="29"/>
      <c r="U713" s="29"/>
      <c r="AD713" s="30"/>
      <c r="AE713" s="30"/>
      <c r="AO713" s="31"/>
      <c r="AP713" s="31"/>
      <c r="BA713" s="32"/>
      <c r="BB713" s="32"/>
    </row>
    <row r="714" spans="20:54" ht="12.75" x14ac:dyDescent="0.2">
      <c r="T714" s="29"/>
      <c r="U714" s="29"/>
      <c r="AD714" s="30"/>
      <c r="AE714" s="30"/>
      <c r="AO714" s="31"/>
      <c r="AP714" s="31"/>
      <c r="BA714" s="32"/>
      <c r="BB714" s="32"/>
    </row>
    <row r="715" spans="20:54" ht="12.75" x14ac:dyDescent="0.2">
      <c r="T715" s="29"/>
      <c r="U715" s="29"/>
      <c r="AD715" s="30"/>
      <c r="AE715" s="30"/>
      <c r="AO715" s="31"/>
      <c r="AP715" s="31"/>
      <c r="BA715" s="32"/>
      <c r="BB715" s="32"/>
    </row>
    <row r="716" spans="20:54" ht="12.75" x14ac:dyDescent="0.2">
      <c r="T716" s="29"/>
      <c r="U716" s="29"/>
      <c r="AD716" s="30"/>
      <c r="AE716" s="30"/>
      <c r="AO716" s="31"/>
      <c r="AP716" s="31"/>
      <c r="BA716" s="32"/>
      <c r="BB716" s="32"/>
    </row>
    <row r="717" spans="20:54" ht="12.75" x14ac:dyDescent="0.2">
      <c r="T717" s="29"/>
      <c r="U717" s="29"/>
      <c r="AD717" s="30"/>
      <c r="AE717" s="30"/>
      <c r="AO717" s="31"/>
      <c r="AP717" s="31"/>
      <c r="BA717" s="32"/>
      <c r="BB717" s="32"/>
    </row>
    <row r="718" spans="20:54" ht="12.75" x14ac:dyDescent="0.2">
      <c r="T718" s="29"/>
      <c r="U718" s="29"/>
      <c r="AD718" s="30"/>
      <c r="AE718" s="30"/>
      <c r="AO718" s="31"/>
      <c r="AP718" s="31"/>
      <c r="BA718" s="32"/>
      <c r="BB718" s="32"/>
    </row>
    <row r="719" spans="20:54" ht="12.75" x14ac:dyDescent="0.2">
      <c r="T719" s="29"/>
      <c r="U719" s="29"/>
      <c r="AD719" s="30"/>
      <c r="AE719" s="30"/>
      <c r="AO719" s="31"/>
      <c r="AP719" s="31"/>
      <c r="BA719" s="32"/>
      <c r="BB719" s="32"/>
    </row>
    <row r="720" spans="20:54" ht="12.75" x14ac:dyDescent="0.2">
      <c r="T720" s="29"/>
      <c r="U720" s="29"/>
      <c r="AD720" s="30"/>
      <c r="AE720" s="30"/>
      <c r="AO720" s="31"/>
      <c r="AP720" s="31"/>
      <c r="BA720" s="32"/>
      <c r="BB720" s="32"/>
    </row>
    <row r="721" spans="20:54" ht="12.75" x14ac:dyDescent="0.2">
      <c r="T721" s="29"/>
      <c r="U721" s="29"/>
      <c r="AD721" s="30"/>
      <c r="AE721" s="30"/>
      <c r="AO721" s="31"/>
      <c r="AP721" s="31"/>
      <c r="BA721" s="32"/>
      <c r="BB721" s="32"/>
    </row>
    <row r="722" spans="20:54" ht="12.75" x14ac:dyDescent="0.2">
      <c r="T722" s="29"/>
      <c r="U722" s="29"/>
      <c r="AD722" s="30"/>
      <c r="AE722" s="30"/>
      <c r="AO722" s="31"/>
      <c r="AP722" s="31"/>
      <c r="BA722" s="32"/>
      <c r="BB722" s="32"/>
    </row>
    <row r="723" spans="20:54" ht="12.75" x14ac:dyDescent="0.2">
      <c r="T723" s="29"/>
      <c r="U723" s="29"/>
      <c r="AD723" s="30"/>
      <c r="AE723" s="30"/>
      <c r="AO723" s="31"/>
      <c r="AP723" s="31"/>
      <c r="BA723" s="32"/>
      <c r="BB723" s="32"/>
    </row>
    <row r="724" spans="20:54" ht="12.75" x14ac:dyDescent="0.2">
      <c r="T724" s="29"/>
      <c r="U724" s="29"/>
      <c r="AD724" s="30"/>
      <c r="AE724" s="30"/>
      <c r="AO724" s="31"/>
      <c r="AP724" s="31"/>
      <c r="BA724" s="32"/>
      <c r="BB724" s="32"/>
    </row>
    <row r="725" spans="20:54" ht="12.75" x14ac:dyDescent="0.2">
      <c r="T725" s="29"/>
      <c r="U725" s="29"/>
      <c r="AD725" s="30"/>
      <c r="AE725" s="30"/>
      <c r="AO725" s="31"/>
      <c r="AP725" s="31"/>
      <c r="BA725" s="32"/>
      <c r="BB725" s="32"/>
    </row>
    <row r="726" spans="20:54" ht="12.75" x14ac:dyDescent="0.2">
      <c r="T726" s="29"/>
      <c r="U726" s="29"/>
      <c r="AD726" s="30"/>
      <c r="AE726" s="30"/>
      <c r="AO726" s="31"/>
      <c r="AP726" s="31"/>
      <c r="BA726" s="32"/>
      <c r="BB726" s="32"/>
    </row>
    <row r="727" spans="20:54" ht="12.75" x14ac:dyDescent="0.2">
      <c r="T727" s="29"/>
      <c r="U727" s="29"/>
      <c r="AD727" s="30"/>
      <c r="AE727" s="30"/>
      <c r="AO727" s="31"/>
      <c r="AP727" s="31"/>
      <c r="BA727" s="32"/>
      <c r="BB727" s="32"/>
    </row>
    <row r="728" spans="20:54" ht="12.75" x14ac:dyDescent="0.2">
      <c r="T728" s="29"/>
      <c r="U728" s="29"/>
      <c r="AD728" s="30"/>
      <c r="AE728" s="30"/>
      <c r="AO728" s="31"/>
      <c r="AP728" s="31"/>
      <c r="BA728" s="32"/>
      <c r="BB728" s="32"/>
    </row>
    <row r="729" spans="20:54" ht="12.75" x14ac:dyDescent="0.2">
      <c r="T729" s="29"/>
      <c r="U729" s="29"/>
      <c r="AD729" s="30"/>
      <c r="AE729" s="30"/>
      <c r="AO729" s="31"/>
      <c r="AP729" s="31"/>
      <c r="BA729" s="32"/>
      <c r="BB729" s="32"/>
    </row>
    <row r="730" spans="20:54" ht="12.75" x14ac:dyDescent="0.2">
      <c r="T730" s="29"/>
      <c r="U730" s="29"/>
      <c r="AD730" s="30"/>
      <c r="AE730" s="30"/>
      <c r="AO730" s="31"/>
      <c r="AP730" s="31"/>
      <c r="BA730" s="32"/>
      <c r="BB730" s="32"/>
    </row>
    <row r="731" spans="20:54" ht="12.75" x14ac:dyDescent="0.2">
      <c r="T731" s="29"/>
      <c r="U731" s="29"/>
      <c r="AD731" s="30"/>
      <c r="AE731" s="30"/>
      <c r="AO731" s="31"/>
      <c r="AP731" s="31"/>
      <c r="BA731" s="32"/>
      <c r="BB731" s="32"/>
    </row>
    <row r="732" spans="20:54" ht="12.75" x14ac:dyDescent="0.2">
      <c r="T732" s="29"/>
      <c r="U732" s="29"/>
      <c r="AD732" s="30"/>
      <c r="AE732" s="30"/>
      <c r="AO732" s="31"/>
      <c r="AP732" s="31"/>
      <c r="BA732" s="32"/>
      <c r="BB732" s="32"/>
    </row>
    <row r="733" spans="20:54" ht="12.75" x14ac:dyDescent="0.2">
      <c r="T733" s="29"/>
      <c r="U733" s="29"/>
      <c r="AD733" s="30"/>
      <c r="AE733" s="30"/>
      <c r="AO733" s="31"/>
      <c r="AP733" s="31"/>
      <c r="BA733" s="32"/>
      <c r="BB733" s="32"/>
    </row>
    <row r="734" spans="20:54" ht="12.75" x14ac:dyDescent="0.2">
      <c r="T734" s="29"/>
      <c r="U734" s="29"/>
      <c r="AD734" s="30"/>
      <c r="AE734" s="30"/>
      <c r="AO734" s="31"/>
      <c r="AP734" s="31"/>
      <c r="BA734" s="32"/>
      <c r="BB734" s="32"/>
    </row>
    <row r="735" spans="20:54" ht="12.75" x14ac:dyDescent="0.2">
      <c r="T735" s="29"/>
      <c r="U735" s="29"/>
      <c r="AD735" s="30"/>
      <c r="AE735" s="30"/>
      <c r="AO735" s="31"/>
      <c r="AP735" s="31"/>
      <c r="BA735" s="32"/>
      <c r="BB735" s="32"/>
    </row>
    <row r="736" spans="20:54" ht="12.75" x14ac:dyDescent="0.2">
      <c r="T736" s="29"/>
      <c r="U736" s="29"/>
      <c r="AD736" s="30"/>
      <c r="AE736" s="30"/>
      <c r="AO736" s="31"/>
      <c r="AP736" s="31"/>
      <c r="BA736" s="32"/>
      <c r="BB736" s="32"/>
    </row>
    <row r="737" spans="20:54" ht="12.75" x14ac:dyDescent="0.2">
      <c r="T737" s="29"/>
      <c r="U737" s="29"/>
      <c r="AD737" s="30"/>
      <c r="AE737" s="30"/>
      <c r="AO737" s="31"/>
      <c r="AP737" s="31"/>
      <c r="BA737" s="32"/>
      <c r="BB737" s="32"/>
    </row>
    <row r="738" spans="20:54" ht="12.75" x14ac:dyDescent="0.2">
      <c r="T738" s="29"/>
      <c r="U738" s="29"/>
      <c r="AD738" s="30"/>
      <c r="AE738" s="30"/>
      <c r="AO738" s="31"/>
      <c r="AP738" s="31"/>
      <c r="BA738" s="32"/>
      <c r="BB738" s="32"/>
    </row>
    <row r="739" spans="20:54" ht="12.75" x14ac:dyDescent="0.2">
      <c r="T739" s="29"/>
      <c r="U739" s="29"/>
      <c r="AD739" s="30"/>
      <c r="AE739" s="30"/>
      <c r="AO739" s="31"/>
      <c r="AP739" s="31"/>
      <c r="BA739" s="32"/>
      <c r="BB739" s="32"/>
    </row>
    <row r="740" spans="20:54" ht="12.75" x14ac:dyDescent="0.2">
      <c r="T740" s="29"/>
      <c r="U740" s="29"/>
      <c r="AD740" s="30"/>
      <c r="AE740" s="30"/>
      <c r="AO740" s="31"/>
      <c r="AP740" s="31"/>
      <c r="BA740" s="32"/>
      <c r="BB740" s="32"/>
    </row>
    <row r="741" spans="20:54" ht="12.75" x14ac:dyDescent="0.2">
      <c r="T741" s="29"/>
      <c r="U741" s="29"/>
      <c r="AD741" s="30"/>
      <c r="AE741" s="30"/>
      <c r="AO741" s="31"/>
      <c r="AP741" s="31"/>
      <c r="BA741" s="32"/>
      <c r="BB741" s="32"/>
    </row>
    <row r="742" spans="20:54" ht="12.75" x14ac:dyDescent="0.2">
      <c r="T742" s="29"/>
      <c r="U742" s="29"/>
      <c r="AD742" s="30"/>
      <c r="AE742" s="30"/>
      <c r="AO742" s="31"/>
      <c r="AP742" s="31"/>
      <c r="BA742" s="32"/>
      <c r="BB742" s="32"/>
    </row>
    <row r="743" spans="20:54" ht="12.75" x14ac:dyDescent="0.2">
      <c r="T743" s="29"/>
      <c r="U743" s="29"/>
      <c r="AD743" s="30"/>
      <c r="AE743" s="30"/>
      <c r="AO743" s="31"/>
      <c r="AP743" s="31"/>
      <c r="BA743" s="32"/>
      <c r="BB743" s="32"/>
    </row>
    <row r="744" spans="20:54" ht="12.75" x14ac:dyDescent="0.2">
      <c r="T744" s="29"/>
      <c r="U744" s="29"/>
      <c r="AD744" s="30"/>
      <c r="AE744" s="30"/>
      <c r="AO744" s="31"/>
      <c r="AP744" s="31"/>
      <c r="BA744" s="32"/>
      <c r="BB744" s="32"/>
    </row>
    <row r="745" spans="20:54" ht="12.75" x14ac:dyDescent="0.2">
      <c r="T745" s="29"/>
      <c r="U745" s="29"/>
      <c r="AD745" s="30"/>
      <c r="AE745" s="30"/>
      <c r="AO745" s="31"/>
      <c r="AP745" s="31"/>
      <c r="BA745" s="32"/>
      <c r="BB745" s="32"/>
    </row>
    <row r="746" spans="20:54" ht="12.75" x14ac:dyDescent="0.2">
      <c r="T746" s="29"/>
      <c r="U746" s="29"/>
      <c r="AD746" s="30"/>
      <c r="AE746" s="30"/>
      <c r="AO746" s="31"/>
      <c r="AP746" s="31"/>
      <c r="BA746" s="32"/>
      <c r="BB746" s="32"/>
    </row>
    <row r="747" spans="20:54" ht="12.75" x14ac:dyDescent="0.2">
      <c r="T747" s="29"/>
      <c r="U747" s="29"/>
      <c r="AD747" s="30"/>
      <c r="AE747" s="30"/>
      <c r="AO747" s="31"/>
      <c r="AP747" s="31"/>
      <c r="BA747" s="32"/>
      <c r="BB747" s="32"/>
    </row>
    <row r="748" spans="20:54" ht="12.75" x14ac:dyDescent="0.2">
      <c r="T748" s="29"/>
      <c r="U748" s="29"/>
      <c r="AD748" s="30"/>
      <c r="AE748" s="30"/>
      <c r="AO748" s="31"/>
      <c r="AP748" s="31"/>
      <c r="BA748" s="32"/>
      <c r="BB748" s="32"/>
    </row>
    <row r="749" spans="20:54" ht="12.75" x14ac:dyDescent="0.2">
      <c r="T749" s="29"/>
      <c r="U749" s="29"/>
      <c r="AD749" s="30"/>
      <c r="AE749" s="30"/>
      <c r="AO749" s="31"/>
      <c r="AP749" s="31"/>
      <c r="BA749" s="32"/>
      <c r="BB749" s="32"/>
    </row>
    <row r="750" spans="20:54" ht="12.75" x14ac:dyDescent="0.2">
      <c r="T750" s="29"/>
      <c r="U750" s="29"/>
      <c r="AD750" s="30"/>
      <c r="AE750" s="30"/>
      <c r="AO750" s="31"/>
      <c r="AP750" s="31"/>
      <c r="BA750" s="32"/>
      <c r="BB750" s="32"/>
    </row>
    <row r="751" spans="20:54" ht="12.75" x14ac:dyDescent="0.2">
      <c r="T751" s="29"/>
      <c r="U751" s="29"/>
      <c r="AD751" s="30"/>
      <c r="AE751" s="30"/>
      <c r="AO751" s="31"/>
      <c r="AP751" s="31"/>
      <c r="BA751" s="32"/>
      <c r="BB751" s="32"/>
    </row>
    <row r="752" spans="20:54" ht="12.75" x14ac:dyDescent="0.2">
      <c r="T752" s="29"/>
      <c r="U752" s="29"/>
      <c r="AD752" s="30"/>
      <c r="AE752" s="30"/>
      <c r="AO752" s="31"/>
      <c r="AP752" s="31"/>
      <c r="BA752" s="32"/>
      <c r="BB752" s="32"/>
    </row>
    <row r="753" spans="20:54" ht="12.75" x14ac:dyDescent="0.2">
      <c r="T753" s="29"/>
      <c r="U753" s="29"/>
      <c r="AD753" s="30"/>
      <c r="AE753" s="30"/>
      <c r="AO753" s="31"/>
      <c r="AP753" s="31"/>
      <c r="BA753" s="32"/>
      <c r="BB753" s="32"/>
    </row>
    <row r="754" spans="20:54" ht="12.75" x14ac:dyDescent="0.2">
      <c r="T754" s="29"/>
      <c r="U754" s="29"/>
      <c r="AD754" s="30"/>
      <c r="AE754" s="30"/>
      <c r="AO754" s="31"/>
      <c r="AP754" s="31"/>
      <c r="BA754" s="32"/>
      <c r="BB754" s="32"/>
    </row>
    <row r="755" spans="20:54" ht="12.75" x14ac:dyDescent="0.2">
      <c r="T755" s="29"/>
      <c r="U755" s="29"/>
      <c r="AD755" s="30"/>
      <c r="AE755" s="30"/>
      <c r="AO755" s="31"/>
      <c r="AP755" s="31"/>
      <c r="BA755" s="32"/>
      <c r="BB755" s="32"/>
    </row>
    <row r="756" spans="20:54" ht="12.75" x14ac:dyDescent="0.2">
      <c r="T756" s="29"/>
      <c r="U756" s="29"/>
      <c r="AD756" s="30"/>
      <c r="AE756" s="30"/>
      <c r="AO756" s="31"/>
      <c r="AP756" s="31"/>
      <c r="BA756" s="32"/>
      <c r="BB756" s="32"/>
    </row>
    <row r="757" spans="20:54" ht="12.75" x14ac:dyDescent="0.2">
      <c r="T757" s="29"/>
      <c r="U757" s="29"/>
      <c r="AD757" s="30"/>
      <c r="AE757" s="30"/>
      <c r="AO757" s="31"/>
      <c r="AP757" s="31"/>
      <c r="BA757" s="32"/>
      <c r="BB757" s="32"/>
    </row>
    <row r="758" spans="20:54" ht="12.75" x14ac:dyDescent="0.2">
      <c r="T758" s="29"/>
      <c r="U758" s="29"/>
      <c r="AD758" s="30"/>
      <c r="AE758" s="30"/>
      <c r="AO758" s="31"/>
      <c r="AP758" s="31"/>
      <c r="BA758" s="32"/>
      <c r="BB758" s="32"/>
    </row>
    <row r="759" spans="20:54" ht="12.75" x14ac:dyDescent="0.2">
      <c r="T759" s="29"/>
      <c r="U759" s="29"/>
      <c r="AD759" s="30"/>
      <c r="AE759" s="30"/>
      <c r="AO759" s="31"/>
      <c r="AP759" s="31"/>
      <c r="BA759" s="32"/>
      <c r="BB759" s="32"/>
    </row>
    <row r="760" spans="20:54" ht="12.75" x14ac:dyDescent="0.2">
      <c r="T760" s="29"/>
      <c r="U760" s="29"/>
      <c r="AD760" s="30"/>
      <c r="AE760" s="30"/>
      <c r="AO760" s="31"/>
      <c r="AP760" s="31"/>
      <c r="BA760" s="32"/>
      <c r="BB760" s="32"/>
    </row>
    <row r="761" spans="20:54" ht="12.75" x14ac:dyDescent="0.2">
      <c r="T761" s="29"/>
      <c r="U761" s="29"/>
      <c r="AD761" s="30"/>
      <c r="AE761" s="30"/>
      <c r="AO761" s="31"/>
      <c r="AP761" s="31"/>
      <c r="BA761" s="32"/>
      <c r="BB761" s="32"/>
    </row>
    <row r="762" spans="20:54" ht="12.75" x14ac:dyDescent="0.2">
      <c r="T762" s="29"/>
      <c r="U762" s="29"/>
      <c r="AD762" s="30"/>
      <c r="AE762" s="30"/>
      <c r="AO762" s="31"/>
      <c r="AP762" s="31"/>
      <c r="BA762" s="32"/>
      <c r="BB762" s="32"/>
    </row>
    <row r="763" spans="20:54" ht="12.75" x14ac:dyDescent="0.2">
      <c r="T763" s="29"/>
      <c r="U763" s="29"/>
      <c r="AD763" s="30"/>
      <c r="AE763" s="30"/>
      <c r="AO763" s="31"/>
      <c r="AP763" s="31"/>
      <c r="BA763" s="32"/>
      <c r="BB763" s="32"/>
    </row>
    <row r="764" spans="20:54" ht="12.75" x14ac:dyDescent="0.2">
      <c r="T764" s="29"/>
      <c r="U764" s="29"/>
      <c r="AD764" s="30"/>
      <c r="AE764" s="30"/>
      <c r="AO764" s="31"/>
      <c r="AP764" s="31"/>
      <c r="BA764" s="32"/>
      <c r="BB764" s="32"/>
    </row>
    <row r="765" spans="20:54" ht="12.75" x14ac:dyDescent="0.2">
      <c r="T765" s="29"/>
      <c r="U765" s="29"/>
      <c r="AD765" s="30"/>
      <c r="AE765" s="30"/>
      <c r="AO765" s="31"/>
      <c r="AP765" s="31"/>
      <c r="BA765" s="32"/>
      <c r="BB765" s="32"/>
    </row>
    <row r="766" spans="20:54" ht="12.75" x14ac:dyDescent="0.2">
      <c r="T766" s="29"/>
      <c r="U766" s="29"/>
      <c r="AD766" s="30"/>
      <c r="AE766" s="30"/>
      <c r="AO766" s="31"/>
      <c r="AP766" s="31"/>
      <c r="BA766" s="32"/>
      <c r="BB766" s="32"/>
    </row>
    <row r="767" spans="20:54" ht="12.75" x14ac:dyDescent="0.2">
      <c r="T767" s="29"/>
      <c r="U767" s="29"/>
      <c r="AD767" s="30"/>
      <c r="AE767" s="30"/>
      <c r="AO767" s="31"/>
      <c r="AP767" s="31"/>
      <c r="BA767" s="32"/>
      <c r="BB767" s="32"/>
    </row>
    <row r="768" spans="20:54" ht="12.75" x14ac:dyDescent="0.2">
      <c r="T768" s="29"/>
      <c r="U768" s="29"/>
      <c r="AD768" s="30"/>
      <c r="AE768" s="30"/>
      <c r="AO768" s="31"/>
      <c r="AP768" s="31"/>
      <c r="BA768" s="32"/>
      <c r="BB768" s="32"/>
    </row>
    <row r="769" spans="20:54" ht="12.75" x14ac:dyDescent="0.2">
      <c r="T769" s="29"/>
      <c r="U769" s="29"/>
      <c r="AD769" s="30"/>
      <c r="AE769" s="30"/>
      <c r="AO769" s="31"/>
      <c r="AP769" s="31"/>
      <c r="BA769" s="32"/>
      <c r="BB769" s="32"/>
    </row>
    <row r="770" spans="20:54" ht="12.75" x14ac:dyDescent="0.2">
      <c r="T770" s="29"/>
      <c r="U770" s="29"/>
      <c r="AD770" s="30"/>
      <c r="AE770" s="30"/>
      <c r="AO770" s="31"/>
      <c r="AP770" s="31"/>
      <c r="BA770" s="32"/>
      <c r="BB770" s="32"/>
    </row>
    <row r="771" spans="20:54" ht="12.75" x14ac:dyDescent="0.2">
      <c r="T771" s="29"/>
      <c r="U771" s="29"/>
      <c r="AD771" s="30"/>
      <c r="AE771" s="30"/>
      <c r="AO771" s="31"/>
      <c r="AP771" s="31"/>
      <c r="BA771" s="32"/>
      <c r="BB771" s="32"/>
    </row>
    <row r="772" spans="20:54" ht="12.75" x14ac:dyDescent="0.2">
      <c r="T772" s="29"/>
      <c r="U772" s="29"/>
      <c r="AD772" s="30"/>
      <c r="AE772" s="30"/>
      <c r="AO772" s="31"/>
      <c r="AP772" s="31"/>
      <c r="BA772" s="32"/>
      <c r="BB772" s="32"/>
    </row>
    <row r="773" spans="20:54" ht="12.75" x14ac:dyDescent="0.2">
      <c r="T773" s="29"/>
      <c r="U773" s="29"/>
      <c r="AD773" s="30"/>
      <c r="AE773" s="30"/>
      <c r="AO773" s="31"/>
      <c r="AP773" s="31"/>
      <c r="BA773" s="32"/>
      <c r="BB773" s="32"/>
    </row>
    <row r="774" spans="20:54" ht="12.75" x14ac:dyDescent="0.2">
      <c r="T774" s="29"/>
      <c r="U774" s="29"/>
      <c r="AD774" s="30"/>
      <c r="AE774" s="30"/>
      <c r="AO774" s="31"/>
      <c r="AP774" s="31"/>
      <c r="BA774" s="32"/>
      <c r="BB774" s="32"/>
    </row>
    <row r="775" spans="20:54" ht="12.75" x14ac:dyDescent="0.2">
      <c r="T775" s="29"/>
      <c r="U775" s="29"/>
      <c r="AD775" s="30"/>
      <c r="AE775" s="30"/>
      <c r="AO775" s="31"/>
      <c r="AP775" s="31"/>
      <c r="BA775" s="32"/>
      <c r="BB775" s="32"/>
    </row>
    <row r="776" spans="20:54" ht="12.75" x14ac:dyDescent="0.2">
      <c r="T776" s="29"/>
      <c r="U776" s="29"/>
      <c r="AD776" s="30"/>
      <c r="AE776" s="30"/>
      <c r="AO776" s="31"/>
      <c r="AP776" s="31"/>
      <c r="BA776" s="32"/>
      <c r="BB776" s="32"/>
    </row>
    <row r="777" spans="20:54" ht="12.75" x14ac:dyDescent="0.2">
      <c r="T777" s="29"/>
      <c r="U777" s="29"/>
      <c r="AD777" s="30"/>
      <c r="AE777" s="30"/>
      <c r="AO777" s="31"/>
      <c r="AP777" s="31"/>
      <c r="BA777" s="32"/>
      <c r="BB777" s="32"/>
    </row>
    <row r="778" spans="20:54" ht="12.75" x14ac:dyDescent="0.2">
      <c r="T778" s="29"/>
      <c r="U778" s="29"/>
      <c r="AD778" s="30"/>
      <c r="AE778" s="30"/>
      <c r="AO778" s="31"/>
      <c r="AP778" s="31"/>
      <c r="BA778" s="32"/>
      <c r="BB778" s="32"/>
    </row>
    <row r="779" spans="20:54" ht="12.75" x14ac:dyDescent="0.2">
      <c r="T779" s="29"/>
      <c r="U779" s="29"/>
      <c r="AD779" s="30"/>
      <c r="AE779" s="30"/>
      <c r="AO779" s="31"/>
      <c r="AP779" s="31"/>
      <c r="BA779" s="32"/>
      <c r="BB779" s="32"/>
    </row>
    <row r="780" spans="20:54" ht="12.75" x14ac:dyDescent="0.2">
      <c r="T780" s="29"/>
      <c r="U780" s="29"/>
      <c r="AD780" s="30"/>
      <c r="AE780" s="30"/>
      <c r="AO780" s="31"/>
      <c r="AP780" s="31"/>
      <c r="BA780" s="32"/>
      <c r="BB780" s="32"/>
    </row>
    <row r="781" spans="20:54" ht="12.75" x14ac:dyDescent="0.2">
      <c r="T781" s="29"/>
      <c r="U781" s="29"/>
      <c r="AD781" s="30"/>
      <c r="AE781" s="30"/>
      <c r="AO781" s="31"/>
      <c r="AP781" s="31"/>
      <c r="BA781" s="32"/>
      <c r="BB781" s="32"/>
    </row>
    <row r="782" spans="20:54" ht="12.75" x14ac:dyDescent="0.2">
      <c r="T782" s="29"/>
      <c r="U782" s="29"/>
      <c r="AD782" s="30"/>
      <c r="AE782" s="30"/>
      <c r="AO782" s="31"/>
      <c r="AP782" s="31"/>
      <c r="BA782" s="32"/>
      <c r="BB782" s="32"/>
    </row>
    <row r="783" spans="20:54" ht="12.75" x14ac:dyDescent="0.2">
      <c r="T783" s="29"/>
      <c r="U783" s="29"/>
      <c r="AD783" s="30"/>
      <c r="AE783" s="30"/>
      <c r="AO783" s="31"/>
      <c r="AP783" s="31"/>
      <c r="BA783" s="32"/>
      <c r="BB783" s="32"/>
    </row>
    <row r="784" spans="20:54" ht="12.75" x14ac:dyDescent="0.2">
      <c r="T784" s="29"/>
      <c r="U784" s="29"/>
      <c r="AD784" s="30"/>
      <c r="AE784" s="30"/>
      <c r="AO784" s="31"/>
      <c r="AP784" s="31"/>
      <c r="BA784" s="32"/>
      <c r="BB784" s="32"/>
    </row>
    <row r="785" spans="20:54" ht="12.75" x14ac:dyDescent="0.2">
      <c r="T785" s="29"/>
      <c r="U785" s="29"/>
      <c r="AD785" s="30"/>
      <c r="AE785" s="30"/>
      <c r="AO785" s="31"/>
      <c r="AP785" s="31"/>
      <c r="BA785" s="32"/>
      <c r="BB785" s="32"/>
    </row>
    <row r="786" spans="20:54" ht="12.75" x14ac:dyDescent="0.2">
      <c r="T786" s="29"/>
      <c r="U786" s="29"/>
      <c r="AD786" s="30"/>
      <c r="AE786" s="30"/>
      <c r="AO786" s="31"/>
      <c r="AP786" s="31"/>
      <c r="BA786" s="32"/>
      <c r="BB786" s="32"/>
    </row>
    <row r="787" spans="20:54" ht="12.75" x14ac:dyDescent="0.2">
      <c r="T787" s="29"/>
      <c r="U787" s="29"/>
      <c r="AD787" s="30"/>
      <c r="AE787" s="30"/>
      <c r="AO787" s="31"/>
      <c r="AP787" s="31"/>
      <c r="BA787" s="32"/>
      <c r="BB787" s="32"/>
    </row>
    <row r="788" spans="20:54" ht="12.75" x14ac:dyDescent="0.2">
      <c r="T788" s="29"/>
      <c r="U788" s="29"/>
      <c r="AD788" s="30"/>
      <c r="AE788" s="30"/>
      <c r="AO788" s="31"/>
      <c r="AP788" s="31"/>
      <c r="BA788" s="32"/>
      <c r="BB788" s="32"/>
    </row>
    <row r="789" spans="20:54" ht="12.75" x14ac:dyDescent="0.2">
      <c r="T789" s="29"/>
      <c r="U789" s="29"/>
      <c r="AD789" s="30"/>
      <c r="AE789" s="30"/>
      <c r="AO789" s="31"/>
      <c r="AP789" s="31"/>
      <c r="BA789" s="32"/>
      <c r="BB789" s="32"/>
    </row>
    <row r="790" spans="20:54" ht="12.75" x14ac:dyDescent="0.2">
      <c r="T790" s="29"/>
      <c r="U790" s="29"/>
      <c r="AD790" s="30"/>
      <c r="AE790" s="30"/>
      <c r="AO790" s="31"/>
      <c r="AP790" s="31"/>
      <c r="BA790" s="32"/>
      <c r="BB790" s="32"/>
    </row>
    <row r="791" spans="20:54" ht="12.75" x14ac:dyDescent="0.2">
      <c r="T791" s="29"/>
      <c r="U791" s="29"/>
      <c r="AD791" s="30"/>
      <c r="AE791" s="30"/>
      <c r="AO791" s="31"/>
      <c r="AP791" s="31"/>
      <c r="BA791" s="32"/>
      <c r="BB791" s="32"/>
    </row>
    <row r="792" spans="20:54" ht="12.75" x14ac:dyDescent="0.2">
      <c r="T792" s="29"/>
      <c r="U792" s="29"/>
      <c r="AD792" s="30"/>
      <c r="AE792" s="30"/>
      <c r="AO792" s="31"/>
      <c r="AP792" s="31"/>
      <c r="BA792" s="32"/>
      <c r="BB792" s="32"/>
    </row>
    <row r="793" spans="20:54" ht="12.75" x14ac:dyDescent="0.2">
      <c r="T793" s="29"/>
      <c r="U793" s="29"/>
      <c r="AD793" s="30"/>
      <c r="AE793" s="30"/>
      <c r="AO793" s="31"/>
      <c r="AP793" s="31"/>
      <c r="BA793" s="32"/>
      <c r="BB793" s="32"/>
    </row>
    <row r="794" spans="20:54" ht="12.75" x14ac:dyDescent="0.2">
      <c r="T794" s="29"/>
      <c r="U794" s="29"/>
      <c r="AD794" s="30"/>
      <c r="AE794" s="30"/>
      <c r="AO794" s="31"/>
      <c r="AP794" s="31"/>
      <c r="BA794" s="32"/>
      <c r="BB794" s="32"/>
    </row>
    <row r="795" spans="20:54" ht="12.75" x14ac:dyDescent="0.2">
      <c r="T795" s="29"/>
      <c r="U795" s="29"/>
      <c r="AD795" s="30"/>
      <c r="AE795" s="30"/>
      <c r="AO795" s="31"/>
      <c r="AP795" s="31"/>
      <c r="BA795" s="32"/>
      <c r="BB795" s="32"/>
    </row>
    <row r="796" spans="20:54" ht="12.75" x14ac:dyDescent="0.2">
      <c r="T796" s="29"/>
      <c r="U796" s="29"/>
      <c r="AD796" s="30"/>
      <c r="AE796" s="30"/>
      <c r="AO796" s="31"/>
      <c r="AP796" s="31"/>
      <c r="BA796" s="32"/>
      <c r="BB796" s="32"/>
    </row>
    <row r="797" spans="20:54" ht="12.75" x14ac:dyDescent="0.2">
      <c r="T797" s="29"/>
      <c r="U797" s="29"/>
      <c r="AD797" s="30"/>
      <c r="AE797" s="30"/>
      <c r="AO797" s="31"/>
      <c r="AP797" s="31"/>
      <c r="BA797" s="32"/>
      <c r="BB797" s="32"/>
    </row>
    <row r="798" spans="20:54" ht="12.75" x14ac:dyDescent="0.2">
      <c r="T798" s="29"/>
      <c r="U798" s="29"/>
      <c r="AD798" s="30"/>
      <c r="AE798" s="30"/>
      <c r="AO798" s="31"/>
      <c r="AP798" s="31"/>
      <c r="BA798" s="32"/>
      <c r="BB798" s="32"/>
    </row>
    <row r="799" spans="20:54" ht="12.75" x14ac:dyDescent="0.2">
      <c r="T799" s="29"/>
      <c r="U799" s="29"/>
      <c r="AD799" s="30"/>
      <c r="AE799" s="30"/>
      <c r="AO799" s="31"/>
      <c r="AP799" s="31"/>
      <c r="BA799" s="32"/>
      <c r="BB799" s="32"/>
    </row>
    <row r="800" spans="20:54" ht="12.75" x14ac:dyDescent="0.2">
      <c r="T800" s="29"/>
      <c r="U800" s="29"/>
      <c r="AD800" s="30"/>
      <c r="AE800" s="30"/>
      <c r="AO800" s="31"/>
      <c r="AP800" s="31"/>
      <c r="BA800" s="32"/>
      <c r="BB800" s="32"/>
    </row>
    <row r="801" spans="20:54" ht="12.75" x14ac:dyDescent="0.2">
      <c r="T801" s="29"/>
      <c r="U801" s="29"/>
      <c r="AD801" s="30"/>
      <c r="AE801" s="30"/>
      <c r="AO801" s="31"/>
      <c r="AP801" s="31"/>
      <c r="BA801" s="32"/>
      <c r="BB801" s="32"/>
    </row>
    <row r="802" spans="20:54" ht="12.75" x14ac:dyDescent="0.2">
      <c r="T802" s="29"/>
      <c r="U802" s="29"/>
      <c r="AD802" s="30"/>
      <c r="AE802" s="30"/>
      <c r="AO802" s="31"/>
      <c r="AP802" s="31"/>
      <c r="BA802" s="32"/>
      <c r="BB802" s="32"/>
    </row>
    <row r="803" spans="20:54" ht="12.75" x14ac:dyDescent="0.2">
      <c r="T803" s="29"/>
      <c r="U803" s="29"/>
      <c r="AD803" s="30"/>
      <c r="AE803" s="30"/>
      <c r="AO803" s="31"/>
      <c r="AP803" s="31"/>
      <c r="BA803" s="32"/>
      <c r="BB803" s="32"/>
    </row>
    <row r="804" spans="20:54" ht="12.75" x14ac:dyDescent="0.2">
      <c r="T804" s="29"/>
      <c r="U804" s="29"/>
      <c r="AD804" s="30"/>
      <c r="AE804" s="30"/>
      <c r="AO804" s="31"/>
      <c r="AP804" s="31"/>
      <c r="BA804" s="32"/>
      <c r="BB804" s="32"/>
    </row>
    <row r="805" spans="20:54" ht="12.75" x14ac:dyDescent="0.2">
      <c r="T805" s="29"/>
      <c r="U805" s="29"/>
      <c r="AD805" s="30"/>
      <c r="AE805" s="30"/>
      <c r="AO805" s="31"/>
      <c r="AP805" s="31"/>
      <c r="BA805" s="32"/>
      <c r="BB805" s="32"/>
    </row>
    <row r="806" spans="20:54" ht="12.75" x14ac:dyDescent="0.2">
      <c r="T806" s="29"/>
      <c r="U806" s="29"/>
      <c r="AD806" s="30"/>
      <c r="AE806" s="30"/>
      <c r="AO806" s="31"/>
      <c r="AP806" s="31"/>
      <c r="BA806" s="32"/>
      <c r="BB806" s="32"/>
    </row>
    <row r="807" spans="20:54" ht="12.75" x14ac:dyDescent="0.2">
      <c r="T807" s="29"/>
      <c r="U807" s="29"/>
      <c r="AD807" s="30"/>
      <c r="AE807" s="30"/>
      <c r="AO807" s="31"/>
      <c r="AP807" s="31"/>
      <c r="BA807" s="32"/>
      <c r="BB807" s="32"/>
    </row>
    <row r="808" spans="20:54" ht="12.75" x14ac:dyDescent="0.2">
      <c r="T808" s="29"/>
      <c r="U808" s="29"/>
      <c r="AD808" s="30"/>
      <c r="AE808" s="30"/>
      <c r="AO808" s="31"/>
      <c r="AP808" s="31"/>
      <c r="BA808" s="32"/>
      <c r="BB808" s="32"/>
    </row>
    <row r="809" spans="20:54" ht="12.75" x14ac:dyDescent="0.2">
      <c r="T809" s="29"/>
      <c r="U809" s="29"/>
      <c r="AD809" s="30"/>
      <c r="AE809" s="30"/>
      <c r="AO809" s="31"/>
      <c r="AP809" s="31"/>
      <c r="BA809" s="32"/>
      <c r="BB809" s="32"/>
    </row>
    <row r="810" spans="20:54" ht="12.75" x14ac:dyDescent="0.2">
      <c r="T810" s="29"/>
      <c r="U810" s="29"/>
      <c r="AD810" s="30"/>
      <c r="AE810" s="30"/>
      <c r="AO810" s="31"/>
      <c r="AP810" s="31"/>
      <c r="BA810" s="32"/>
      <c r="BB810" s="32"/>
    </row>
    <row r="811" spans="20:54" ht="12.75" x14ac:dyDescent="0.2">
      <c r="T811" s="29"/>
      <c r="U811" s="29"/>
      <c r="AD811" s="30"/>
      <c r="AE811" s="30"/>
      <c r="AO811" s="31"/>
      <c r="AP811" s="31"/>
      <c r="BA811" s="32"/>
      <c r="BB811" s="32"/>
    </row>
    <row r="812" spans="20:54" ht="12.75" x14ac:dyDescent="0.2">
      <c r="T812" s="29"/>
      <c r="U812" s="29"/>
      <c r="AD812" s="30"/>
      <c r="AE812" s="30"/>
      <c r="AO812" s="31"/>
      <c r="AP812" s="31"/>
      <c r="BA812" s="32"/>
      <c r="BB812" s="32"/>
    </row>
    <row r="813" spans="20:54" ht="12.75" x14ac:dyDescent="0.2">
      <c r="T813" s="29"/>
      <c r="U813" s="29"/>
      <c r="AD813" s="30"/>
      <c r="AE813" s="30"/>
      <c r="AO813" s="31"/>
      <c r="AP813" s="31"/>
      <c r="BA813" s="32"/>
      <c r="BB813" s="32"/>
    </row>
    <row r="814" spans="20:54" ht="12.75" x14ac:dyDescent="0.2">
      <c r="T814" s="29"/>
      <c r="U814" s="29"/>
      <c r="AD814" s="30"/>
      <c r="AE814" s="30"/>
      <c r="AO814" s="31"/>
      <c r="AP814" s="31"/>
      <c r="BA814" s="32"/>
      <c r="BB814" s="32"/>
    </row>
    <row r="815" spans="20:54" ht="12.75" x14ac:dyDescent="0.2">
      <c r="T815" s="29"/>
      <c r="U815" s="29"/>
      <c r="AD815" s="30"/>
      <c r="AE815" s="30"/>
      <c r="AO815" s="31"/>
      <c r="AP815" s="31"/>
      <c r="BA815" s="32"/>
      <c r="BB815" s="32"/>
    </row>
    <row r="816" spans="20:54" ht="12.75" x14ac:dyDescent="0.2">
      <c r="T816" s="29"/>
      <c r="U816" s="29"/>
      <c r="AD816" s="30"/>
      <c r="AE816" s="30"/>
      <c r="AO816" s="31"/>
      <c r="AP816" s="31"/>
      <c r="BA816" s="32"/>
      <c r="BB816" s="32"/>
    </row>
    <row r="817" spans="20:54" ht="12.75" x14ac:dyDescent="0.2">
      <c r="T817" s="29"/>
      <c r="U817" s="29"/>
      <c r="AD817" s="30"/>
      <c r="AE817" s="30"/>
      <c r="AO817" s="31"/>
      <c r="AP817" s="31"/>
      <c r="BA817" s="32"/>
      <c r="BB817" s="32"/>
    </row>
    <row r="818" spans="20:54" ht="12.75" x14ac:dyDescent="0.2">
      <c r="T818" s="29"/>
      <c r="U818" s="29"/>
      <c r="AD818" s="30"/>
      <c r="AE818" s="30"/>
      <c r="AO818" s="31"/>
      <c r="AP818" s="31"/>
      <c r="BA818" s="32"/>
      <c r="BB818" s="32"/>
    </row>
    <row r="819" spans="20:54" ht="12.75" x14ac:dyDescent="0.2">
      <c r="T819" s="29"/>
      <c r="U819" s="29"/>
      <c r="AD819" s="30"/>
      <c r="AE819" s="30"/>
      <c r="AO819" s="31"/>
      <c r="AP819" s="31"/>
      <c r="BA819" s="32"/>
      <c r="BB819" s="32"/>
    </row>
    <row r="820" spans="20:54" ht="12.75" x14ac:dyDescent="0.2">
      <c r="T820" s="29"/>
      <c r="U820" s="29"/>
      <c r="AD820" s="30"/>
      <c r="AE820" s="30"/>
      <c r="AO820" s="31"/>
      <c r="AP820" s="31"/>
      <c r="BA820" s="32"/>
      <c r="BB820" s="32"/>
    </row>
    <row r="821" spans="20:54" ht="12.75" x14ac:dyDescent="0.2">
      <c r="T821" s="29"/>
      <c r="U821" s="29"/>
      <c r="AD821" s="30"/>
      <c r="AE821" s="30"/>
      <c r="AO821" s="31"/>
      <c r="AP821" s="31"/>
      <c r="BA821" s="32"/>
      <c r="BB821" s="32"/>
    </row>
    <row r="822" spans="20:54" ht="12.75" x14ac:dyDescent="0.2">
      <c r="T822" s="29"/>
      <c r="U822" s="29"/>
      <c r="AD822" s="30"/>
      <c r="AE822" s="30"/>
      <c r="AO822" s="31"/>
      <c r="AP822" s="31"/>
      <c r="BA822" s="32"/>
      <c r="BB822" s="32"/>
    </row>
    <row r="823" spans="20:54" ht="12.75" x14ac:dyDescent="0.2">
      <c r="T823" s="29"/>
      <c r="U823" s="29"/>
      <c r="AD823" s="30"/>
      <c r="AE823" s="30"/>
      <c r="AO823" s="31"/>
      <c r="AP823" s="31"/>
      <c r="BA823" s="32"/>
      <c r="BB823" s="32"/>
    </row>
    <row r="824" spans="20:54" ht="12.75" x14ac:dyDescent="0.2">
      <c r="T824" s="29"/>
      <c r="U824" s="29"/>
      <c r="AD824" s="30"/>
      <c r="AE824" s="30"/>
      <c r="AO824" s="31"/>
      <c r="AP824" s="31"/>
      <c r="BA824" s="32"/>
      <c r="BB824" s="32"/>
    </row>
    <row r="825" spans="20:54" ht="12.75" x14ac:dyDescent="0.2">
      <c r="T825" s="29"/>
      <c r="U825" s="29"/>
      <c r="AD825" s="30"/>
      <c r="AE825" s="30"/>
      <c r="AO825" s="31"/>
      <c r="AP825" s="31"/>
      <c r="BA825" s="32"/>
      <c r="BB825" s="32"/>
    </row>
    <row r="826" spans="20:54" ht="12.75" x14ac:dyDescent="0.2">
      <c r="T826" s="29"/>
      <c r="U826" s="29"/>
      <c r="AD826" s="30"/>
      <c r="AE826" s="30"/>
      <c r="AO826" s="31"/>
      <c r="AP826" s="31"/>
      <c r="BA826" s="32"/>
      <c r="BB826" s="32"/>
    </row>
    <row r="827" spans="20:54" ht="12.75" x14ac:dyDescent="0.2">
      <c r="T827" s="29"/>
      <c r="U827" s="29"/>
      <c r="AD827" s="30"/>
      <c r="AE827" s="30"/>
      <c r="AO827" s="31"/>
      <c r="AP827" s="31"/>
      <c r="BA827" s="32"/>
      <c r="BB827" s="32"/>
    </row>
    <row r="828" spans="20:54" ht="12.75" x14ac:dyDescent="0.2">
      <c r="T828" s="29"/>
      <c r="U828" s="29"/>
      <c r="AD828" s="30"/>
      <c r="AE828" s="30"/>
      <c r="AO828" s="31"/>
      <c r="AP828" s="31"/>
      <c r="BA828" s="32"/>
      <c r="BB828" s="32"/>
    </row>
    <row r="829" spans="20:54" ht="12.75" x14ac:dyDescent="0.2">
      <c r="T829" s="29"/>
      <c r="U829" s="29"/>
      <c r="AD829" s="30"/>
      <c r="AE829" s="30"/>
      <c r="AO829" s="31"/>
      <c r="AP829" s="31"/>
      <c r="BA829" s="32"/>
      <c r="BB829" s="32"/>
    </row>
    <row r="830" spans="20:54" ht="12.75" x14ac:dyDescent="0.2">
      <c r="T830" s="29"/>
      <c r="U830" s="29"/>
      <c r="AD830" s="30"/>
      <c r="AE830" s="30"/>
      <c r="AO830" s="31"/>
      <c r="AP830" s="31"/>
      <c r="BA830" s="32"/>
      <c r="BB830" s="32"/>
    </row>
    <row r="831" spans="20:54" ht="12.75" x14ac:dyDescent="0.2">
      <c r="T831" s="29"/>
      <c r="U831" s="29"/>
      <c r="AD831" s="30"/>
      <c r="AE831" s="30"/>
      <c r="AO831" s="31"/>
      <c r="AP831" s="31"/>
      <c r="BA831" s="32"/>
      <c r="BB831" s="32"/>
    </row>
    <row r="832" spans="20:54" ht="12.75" x14ac:dyDescent="0.2">
      <c r="T832" s="29"/>
      <c r="U832" s="29"/>
      <c r="AD832" s="30"/>
      <c r="AE832" s="30"/>
      <c r="AO832" s="31"/>
      <c r="AP832" s="31"/>
      <c r="BA832" s="32"/>
      <c r="BB832" s="32"/>
    </row>
    <row r="833" spans="20:54" ht="12.75" x14ac:dyDescent="0.2">
      <c r="T833" s="29"/>
      <c r="U833" s="29"/>
      <c r="AD833" s="30"/>
      <c r="AE833" s="30"/>
      <c r="AO833" s="31"/>
      <c r="AP833" s="31"/>
      <c r="BA833" s="32"/>
      <c r="BB833" s="32"/>
    </row>
    <row r="834" spans="20:54" ht="12.75" x14ac:dyDescent="0.2">
      <c r="T834" s="29"/>
      <c r="U834" s="29"/>
      <c r="AD834" s="30"/>
      <c r="AE834" s="30"/>
      <c r="AO834" s="31"/>
      <c r="AP834" s="31"/>
      <c r="BA834" s="32"/>
      <c r="BB834" s="32"/>
    </row>
    <row r="835" spans="20:54" ht="12.75" x14ac:dyDescent="0.2">
      <c r="T835" s="29"/>
      <c r="U835" s="29"/>
      <c r="AD835" s="30"/>
      <c r="AE835" s="30"/>
      <c r="AO835" s="31"/>
      <c r="AP835" s="31"/>
      <c r="BA835" s="32"/>
      <c r="BB835" s="32"/>
    </row>
    <row r="836" spans="20:54" ht="12.75" x14ac:dyDescent="0.2">
      <c r="T836" s="29"/>
      <c r="U836" s="29"/>
      <c r="AD836" s="30"/>
      <c r="AE836" s="30"/>
      <c r="AO836" s="31"/>
      <c r="AP836" s="31"/>
      <c r="BA836" s="32"/>
      <c r="BB836" s="32"/>
    </row>
    <row r="837" spans="20:54" ht="12.75" x14ac:dyDescent="0.2">
      <c r="T837" s="29"/>
      <c r="U837" s="29"/>
      <c r="AD837" s="30"/>
      <c r="AE837" s="30"/>
      <c r="AO837" s="31"/>
      <c r="AP837" s="31"/>
      <c r="BA837" s="32"/>
      <c r="BB837" s="32"/>
    </row>
    <row r="838" spans="20:54" ht="12.75" x14ac:dyDescent="0.2">
      <c r="T838" s="29"/>
      <c r="U838" s="29"/>
      <c r="AD838" s="30"/>
      <c r="AE838" s="30"/>
      <c r="AO838" s="31"/>
      <c r="AP838" s="31"/>
      <c r="BA838" s="32"/>
      <c r="BB838" s="32"/>
    </row>
    <row r="839" spans="20:54" ht="12.75" x14ac:dyDescent="0.2">
      <c r="T839" s="29"/>
      <c r="U839" s="29"/>
      <c r="AD839" s="30"/>
      <c r="AE839" s="30"/>
      <c r="AO839" s="31"/>
      <c r="AP839" s="31"/>
      <c r="BA839" s="32"/>
      <c r="BB839" s="32"/>
    </row>
    <row r="840" spans="20:54" ht="12.75" x14ac:dyDescent="0.2">
      <c r="T840" s="29"/>
      <c r="U840" s="29"/>
      <c r="AD840" s="30"/>
      <c r="AE840" s="30"/>
      <c r="AO840" s="31"/>
      <c r="AP840" s="31"/>
      <c r="BA840" s="32"/>
      <c r="BB840" s="32"/>
    </row>
    <row r="841" spans="20:54" ht="12.75" x14ac:dyDescent="0.2">
      <c r="T841" s="29"/>
      <c r="U841" s="29"/>
      <c r="AD841" s="30"/>
      <c r="AE841" s="30"/>
      <c r="AO841" s="31"/>
      <c r="AP841" s="31"/>
      <c r="BA841" s="32"/>
      <c r="BB841" s="32"/>
    </row>
    <row r="842" spans="20:54" ht="12.75" x14ac:dyDescent="0.2">
      <c r="T842" s="29"/>
      <c r="U842" s="29"/>
      <c r="AD842" s="30"/>
      <c r="AE842" s="30"/>
      <c r="AO842" s="31"/>
      <c r="AP842" s="31"/>
      <c r="BA842" s="32"/>
      <c r="BB842" s="32"/>
    </row>
    <row r="843" spans="20:54" ht="12.75" x14ac:dyDescent="0.2">
      <c r="T843" s="29"/>
      <c r="U843" s="29"/>
      <c r="AD843" s="30"/>
      <c r="AE843" s="30"/>
      <c r="AO843" s="31"/>
      <c r="AP843" s="31"/>
      <c r="BA843" s="32"/>
      <c r="BB843" s="32"/>
    </row>
    <row r="844" spans="20:54" ht="12.75" x14ac:dyDescent="0.2">
      <c r="T844" s="29"/>
      <c r="U844" s="29"/>
      <c r="AD844" s="30"/>
      <c r="AE844" s="30"/>
      <c r="AO844" s="31"/>
      <c r="AP844" s="31"/>
      <c r="BA844" s="32"/>
      <c r="BB844" s="32"/>
    </row>
    <row r="845" spans="20:54" ht="12.75" x14ac:dyDescent="0.2">
      <c r="T845" s="29"/>
      <c r="U845" s="29"/>
      <c r="AD845" s="30"/>
      <c r="AE845" s="30"/>
      <c r="AO845" s="31"/>
      <c r="AP845" s="31"/>
      <c r="BA845" s="32"/>
      <c r="BB845" s="32"/>
    </row>
    <row r="846" spans="20:54" ht="12.75" x14ac:dyDescent="0.2">
      <c r="T846" s="29"/>
      <c r="U846" s="29"/>
      <c r="AD846" s="30"/>
      <c r="AE846" s="30"/>
      <c r="AO846" s="31"/>
      <c r="AP846" s="31"/>
      <c r="BA846" s="32"/>
      <c r="BB846" s="32"/>
    </row>
    <row r="847" spans="20:54" ht="12.75" x14ac:dyDescent="0.2">
      <c r="T847" s="29"/>
      <c r="U847" s="29"/>
      <c r="AD847" s="30"/>
      <c r="AE847" s="30"/>
      <c r="AO847" s="31"/>
      <c r="AP847" s="31"/>
      <c r="BA847" s="32"/>
      <c r="BB847" s="32"/>
    </row>
    <row r="848" spans="20:54" ht="12.75" x14ac:dyDescent="0.2">
      <c r="T848" s="29"/>
      <c r="U848" s="29"/>
      <c r="AD848" s="30"/>
      <c r="AE848" s="30"/>
      <c r="AO848" s="31"/>
      <c r="AP848" s="31"/>
      <c r="BA848" s="32"/>
      <c r="BB848" s="32"/>
    </row>
    <row r="849" spans="20:54" ht="12.75" x14ac:dyDescent="0.2">
      <c r="T849" s="29"/>
      <c r="U849" s="29"/>
      <c r="AD849" s="30"/>
      <c r="AE849" s="30"/>
      <c r="AO849" s="31"/>
      <c r="AP849" s="31"/>
      <c r="BA849" s="32"/>
      <c r="BB849" s="32"/>
    </row>
    <row r="850" spans="20:54" ht="12.75" x14ac:dyDescent="0.2">
      <c r="T850" s="29"/>
      <c r="U850" s="29"/>
      <c r="AD850" s="30"/>
      <c r="AE850" s="30"/>
      <c r="AO850" s="31"/>
      <c r="AP850" s="31"/>
      <c r="BA850" s="32"/>
      <c r="BB850" s="32"/>
    </row>
    <row r="851" spans="20:54" ht="12.75" x14ac:dyDescent="0.2">
      <c r="T851" s="29"/>
      <c r="U851" s="29"/>
      <c r="AD851" s="30"/>
      <c r="AE851" s="30"/>
      <c r="AO851" s="31"/>
      <c r="AP851" s="31"/>
      <c r="BA851" s="32"/>
      <c r="BB851" s="32"/>
    </row>
    <row r="852" spans="20:54" ht="12.75" x14ac:dyDescent="0.2">
      <c r="T852" s="29"/>
      <c r="U852" s="29"/>
      <c r="AD852" s="30"/>
      <c r="AE852" s="30"/>
      <c r="AO852" s="31"/>
      <c r="AP852" s="31"/>
      <c r="BA852" s="32"/>
      <c r="BB852" s="32"/>
    </row>
    <row r="853" spans="20:54" ht="12.75" x14ac:dyDescent="0.2">
      <c r="T853" s="29"/>
      <c r="U853" s="29"/>
      <c r="AD853" s="30"/>
      <c r="AE853" s="30"/>
      <c r="AO853" s="31"/>
      <c r="AP853" s="31"/>
      <c r="BA853" s="32"/>
      <c r="BB853" s="32"/>
    </row>
    <row r="854" spans="20:54" ht="12.75" x14ac:dyDescent="0.2">
      <c r="T854" s="29"/>
      <c r="U854" s="29"/>
      <c r="AD854" s="30"/>
      <c r="AE854" s="30"/>
      <c r="AO854" s="31"/>
      <c r="AP854" s="31"/>
      <c r="BA854" s="32"/>
      <c r="BB854" s="32"/>
    </row>
    <row r="855" spans="20:54" ht="12.75" x14ac:dyDescent="0.2">
      <c r="T855" s="29"/>
      <c r="U855" s="29"/>
      <c r="AD855" s="30"/>
      <c r="AE855" s="30"/>
      <c r="AO855" s="31"/>
      <c r="AP855" s="31"/>
      <c r="BA855" s="32"/>
      <c r="BB855" s="32"/>
    </row>
    <row r="856" spans="20:54" ht="12.75" x14ac:dyDescent="0.2">
      <c r="T856" s="29"/>
      <c r="U856" s="29"/>
      <c r="AD856" s="30"/>
      <c r="AE856" s="30"/>
      <c r="AO856" s="31"/>
      <c r="AP856" s="31"/>
      <c r="BA856" s="32"/>
      <c r="BB856" s="32"/>
    </row>
    <row r="857" spans="20:54" ht="12.75" x14ac:dyDescent="0.2">
      <c r="T857" s="29"/>
      <c r="U857" s="29"/>
      <c r="AD857" s="30"/>
      <c r="AE857" s="30"/>
      <c r="AO857" s="31"/>
      <c r="AP857" s="31"/>
      <c r="BA857" s="32"/>
      <c r="BB857" s="32"/>
    </row>
    <row r="858" spans="20:54" ht="12.75" x14ac:dyDescent="0.2">
      <c r="T858" s="29"/>
      <c r="U858" s="29"/>
      <c r="AD858" s="30"/>
      <c r="AE858" s="30"/>
      <c r="AO858" s="31"/>
      <c r="AP858" s="31"/>
      <c r="BA858" s="32"/>
      <c r="BB858" s="32"/>
    </row>
    <row r="859" spans="20:54" ht="12.75" x14ac:dyDescent="0.2">
      <c r="T859" s="29"/>
      <c r="U859" s="29"/>
      <c r="AD859" s="30"/>
      <c r="AE859" s="30"/>
      <c r="AO859" s="31"/>
      <c r="AP859" s="31"/>
      <c r="BA859" s="32"/>
      <c r="BB859" s="32"/>
    </row>
    <row r="860" spans="20:54" ht="12.75" x14ac:dyDescent="0.2">
      <c r="T860" s="29"/>
      <c r="U860" s="29"/>
      <c r="AD860" s="30"/>
      <c r="AE860" s="30"/>
      <c r="AO860" s="31"/>
      <c r="AP860" s="31"/>
      <c r="BA860" s="32"/>
      <c r="BB860" s="32"/>
    </row>
    <row r="861" spans="20:54" ht="12.75" x14ac:dyDescent="0.2">
      <c r="T861" s="29"/>
      <c r="U861" s="29"/>
      <c r="AD861" s="30"/>
      <c r="AE861" s="30"/>
      <c r="AO861" s="31"/>
      <c r="AP861" s="31"/>
      <c r="BA861" s="32"/>
      <c r="BB861" s="32"/>
    </row>
    <row r="862" spans="20:54" ht="12.75" x14ac:dyDescent="0.2">
      <c r="T862" s="29"/>
      <c r="U862" s="29"/>
      <c r="AD862" s="30"/>
      <c r="AE862" s="30"/>
      <c r="AO862" s="31"/>
      <c r="AP862" s="31"/>
      <c r="BA862" s="32"/>
      <c r="BB862" s="32"/>
    </row>
    <row r="863" spans="20:54" ht="12.75" x14ac:dyDescent="0.2">
      <c r="T863" s="29"/>
      <c r="U863" s="29"/>
      <c r="AD863" s="30"/>
      <c r="AE863" s="30"/>
      <c r="AO863" s="31"/>
      <c r="AP863" s="31"/>
      <c r="BA863" s="32"/>
      <c r="BB863" s="32"/>
    </row>
    <row r="864" spans="20:54" ht="12.75" x14ac:dyDescent="0.2">
      <c r="T864" s="29"/>
      <c r="U864" s="29"/>
      <c r="AD864" s="30"/>
      <c r="AE864" s="30"/>
      <c r="AO864" s="31"/>
      <c r="AP864" s="31"/>
      <c r="BA864" s="32"/>
      <c r="BB864" s="32"/>
    </row>
    <row r="865" spans="20:54" ht="12.75" x14ac:dyDescent="0.2">
      <c r="T865" s="29"/>
      <c r="U865" s="29"/>
      <c r="AD865" s="30"/>
      <c r="AE865" s="30"/>
      <c r="AO865" s="31"/>
      <c r="AP865" s="31"/>
      <c r="BA865" s="32"/>
      <c r="BB865" s="32"/>
    </row>
    <row r="866" spans="20:54" ht="12.75" x14ac:dyDescent="0.2">
      <c r="T866" s="29"/>
      <c r="U866" s="29"/>
      <c r="AD866" s="30"/>
      <c r="AE866" s="30"/>
      <c r="AO866" s="31"/>
      <c r="AP866" s="31"/>
      <c r="BA866" s="32"/>
      <c r="BB866" s="32"/>
    </row>
    <row r="867" spans="20:54" ht="12.75" x14ac:dyDescent="0.2">
      <c r="T867" s="29"/>
      <c r="U867" s="29"/>
      <c r="AD867" s="30"/>
      <c r="AE867" s="30"/>
      <c r="AO867" s="31"/>
      <c r="AP867" s="31"/>
      <c r="BA867" s="32"/>
      <c r="BB867" s="32"/>
    </row>
    <row r="868" spans="20:54" ht="12.75" x14ac:dyDescent="0.2">
      <c r="T868" s="29"/>
      <c r="U868" s="29"/>
      <c r="AD868" s="30"/>
      <c r="AE868" s="30"/>
      <c r="AO868" s="31"/>
      <c r="AP868" s="31"/>
      <c r="BA868" s="32"/>
      <c r="BB868" s="32"/>
    </row>
    <row r="869" spans="20:54" ht="12.75" x14ac:dyDescent="0.2">
      <c r="T869" s="29"/>
      <c r="U869" s="29"/>
      <c r="AD869" s="30"/>
      <c r="AE869" s="30"/>
      <c r="AO869" s="31"/>
      <c r="AP869" s="31"/>
      <c r="BA869" s="32"/>
      <c r="BB869" s="32"/>
    </row>
    <row r="870" spans="20:54" ht="12.75" x14ac:dyDescent="0.2">
      <c r="T870" s="29"/>
      <c r="U870" s="29"/>
      <c r="AD870" s="30"/>
      <c r="AE870" s="30"/>
      <c r="AO870" s="31"/>
      <c r="AP870" s="31"/>
      <c r="BA870" s="32"/>
      <c r="BB870" s="32"/>
    </row>
    <row r="871" spans="20:54" ht="12.75" x14ac:dyDescent="0.2">
      <c r="T871" s="29"/>
      <c r="U871" s="29"/>
      <c r="AD871" s="30"/>
      <c r="AE871" s="30"/>
      <c r="AO871" s="31"/>
      <c r="AP871" s="31"/>
      <c r="BA871" s="32"/>
      <c r="BB871" s="32"/>
    </row>
    <row r="872" spans="20:54" ht="12.75" x14ac:dyDescent="0.2">
      <c r="T872" s="29"/>
      <c r="U872" s="29"/>
      <c r="AD872" s="30"/>
      <c r="AE872" s="30"/>
      <c r="AO872" s="31"/>
      <c r="AP872" s="31"/>
      <c r="BA872" s="32"/>
      <c r="BB872" s="32"/>
    </row>
    <row r="873" spans="20:54" ht="12.75" x14ac:dyDescent="0.2">
      <c r="T873" s="29"/>
      <c r="U873" s="29"/>
      <c r="AD873" s="30"/>
      <c r="AE873" s="30"/>
      <c r="AO873" s="31"/>
      <c r="AP873" s="31"/>
      <c r="BA873" s="32"/>
      <c r="BB873" s="32"/>
    </row>
    <row r="874" spans="20:54" ht="12.75" x14ac:dyDescent="0.2">
      <c r="T874" s="29"/>
      <c r="U874" s="29"/>
      <c r="AD874" s="30"/>
      <c r="AE874" s="30"/>
      <c r="AO874" s="31"/>
      <c r="AP874" s="31"/>
      <c r="BA874" s="32"/>
      <c r="BB874" s="32"/>
    </row>
    <row r="875" spans="20:54" ht="12.75" x14ac:dyDescent="0.2">
      <c r="T875" s="29"/>
      <c r="U875" s="29"/>
      <c r="AD875" s="30"/>
      <c r="AE875" s="30"/>
      <c r="AO875" s="31"/>
      <c r="AP875" s="31"/>
      <c r="BA875" s="32"/>
      <c r="BB875" s="32"/>
    </row>
    <row r="876" spans="20:54" ht="12.75" x14ac:dyDescent="0.2">
      <c r="T876" s="29"/>
      <c r="U876" s="29"/>
      <c r="AD876" s="30"/>
      <c r="AE876" s="30"/>
      <c r="AO876" s="31"/>
      <c r="AP876" s="31"/>
      <c r="BA876" s="32"/>
      <c r="BB876" s="32"/>
    </row>
    <row r="877" spans="20:54" ht="12.75" x14ac:dyDescent="0.2">
      <c r="T877" s="29"/>
      <c r="U877" s="29"/>
      <c r="AD877" s="30"/>
      <c r="AE877" s="30"/>
      <c r="AO877" s="31"/>
      <c r="AP877" s="31"/>
      <c r="BA877" s="32"/>
      <c r="BB877" s="32"/>
    </row>
    <row r="878" spans="20:54" ht="12.75" x14ac:dyDescent="0.2">
      <c r="T878" s="29"/>
      <c r="U878" s="29"/>
      <c r="AD878" s="30"/>
      <c r="AE878" s="30"/>
      <c r="AO878" s="31"/>
      <c r="AP878" s="31"/>
      <c r="BA878" s="32"/>
      <c r="BB878" s="32"/>
    </row>
    <row r="879" spans="20:54" ht="12.75" x14ac:dyDescent="0.2">
      <c r="T879" s="29"/>
      <c r="U879" s="29"/>
      <c r="AD879" s="30"/>
      <c r="AE879" s="30"/>
      <c r="AO879" s="31"/>
      <c r="AP879" s="31"/>
      <c r="BA879" s="32"/>
      <c r="BB879" s="32"/>
    </row>
    <row r="880" spans="20:54" ht="12.75" x14ac:dyDescent="0.2">
      <c r="T880" s="29"/>
      <c r="U880" s="29"/>
      <c r="AD880" s="30"/>
      <c r="AE880" s="30"/>
      <c r="AO880" s="31"/>
      <c r="AP880" s="31"/>
      <c r="BA880" s="32"/>
      <c r="BB880" s="32"/>
    </row>
    <row r="881" spans="20:54" ht="12.75" x14ac:dyDescent="0.2">
      <c r="T881" s="29"/>
      <c r="U881" s="29"/>
      <c r="AD881" s="30"/>
      <c r="AE881" s="30"/>
      <c r="AO881" s="31"/>
      <c r="AP881" s="31"/>
      <c r="BA881" s="32"/>
      <c r="BB881" s="32"/>
    </row>
    <row r="882" spans="20:54" ht="12.75" x14ac:dyDescent="0.2">
      <c r="T882" s="29"/>
      <c r="U882" s="29"/>
      <c r="AD882" s="30"/>
      <c r="AE882" s="30"/>
      <c r="AO882" s="31"/>
      <c r="AP882" s="31"/>
      <c r="BA882" s="32"/>
      <c r="BB882" s="32"/>
    </row>
    <row r="883" spans="20:54" ht="12.75" x14ac:dyDescent="0.2">
      <c r="T883" s="29"/>
      <c r="U883" s="29"/>
      <c r="AD883" s="30"/>
      <c r="AE883" s="30"/>
      <c r="AO883" s="31"/>
      <c r="AP883" s="31"/>
      <c r="BA883" s="32"/>
      <c r="BB883" s="32"/>
    </row>
    <row r="884" spans="20:54" ht="12.75" x14ac:dyDescent="0.2">
      <c r="T884" s="29"/>
      <c r="U884" s="29"/>
      <c r="AD884" s="30"/>
      <c r="AE884" s="30"/>
      <c r="AO884" s="31"/>
      <c r="AP884" s="31"/>
      <c r="BA884" s="32"/>
      <c r="BB884" s="32"/>
    </row>
    <row r="885" spans="20:54" ht="12.75" x14ac:dyDescent="0.2">
      <c r="T885" s="29"/>
      <c r="U885" s="29"/>
      <c r="AD885" s="30"/>
      <c r="AE885" s="30"/>
      <c r="AO885" s="31"/>
      <c r="AP885" s="31"/>
      <c r="BA885" s="32"/>
      <c r="BB885" s="32"/>
    </row>
    <row r="886" spans="20:54" ht="12.75" x14ac:dyDescent="0.2">
      <c r="T886" s="29"/>
      <c r="U886" s="29"/>
      <c r="AD886" s="30"/>
      <c r="AE886" s="30"/>
      <c r="AO886" s="31"/>
      <c r="AP886" s="31"/>
      <c r="BA886" s="32"/>
      <c r="BB886" s="32"/>
    </row>
    <row r="887" spans="20:54" ht="12.75" x14ac:dyDescent="0.2">
      <c r="T887" s="29"/>
      <c r="U887" s="29"/>
      <c r="AD887" s="30"/>
      <c r="AE887" s="30"/>
      <c r="AO887" s="31"/>
      <c r="AP887" s="31"/>
      <c r="BA887" s="32"/>
      <c r="BB887" s="32"/>
    </row>
    <row r="888" spans="20:54" ht="12.75" x14ac:dyDescent="0.2">
      <c r="T888" s="29"/>
      <c r="U888" s="29"/>
      <c r="AD888" s="30"/>
      <c r="AE888" s="30"/>
      <c r="AO888" s="31"/>
      <c r="AP888" s="31"/>
      <c r="BA888" s="32"/>
      <c r="BB888" s="32"/>
    </row>
    <row r="889" spans="20:54" ht="12.75" x14ac:dyDescent="0.2">
      <c r="T889" s="29"/>
      <c r="U889" s="29"/>
      <c r="AD889" s="30"/>
      <c r="AE889" s="30"/>
      <c r="AO889" s="31"/>
      <c r="AP889" s="31"/>
      <c r="BA889" s="32"/>
      <c r="BB889" s="32"/>
    </row>
    <row r="890" spans="20:54" ht="12.75" x14ac:dyDescent="0.2">
      <c r="T890" s="29"/>
      <c r="U890" s="29"/>
      <c r="AD890" s="30"/>
      <c r="AE890" s="30"/>
      <c r="AO890" s="31"/>
      <c r="AP890" s="31"/>
      <c r="BA890" s="32"/>
      <c r="BB890" s="32"/>
    </row>
    <row r="891" spans="20:54" ht="12.75" x14ac:dyDescent="0.2">
      <c r="T891" s="29"/>
      <c r="U891" s="29"/>
      <c r="AD891" s="30"/>
      <c r="AE891" s="30"/>
      <c r="AO891" s="31"/>
      <c r="AP891" s="31"/>
      <c r="BA891" s="32"/>
      <c r="BB891" s="32"/>
    </row>
    <row r="892" spans="20:54" ht="12.75" x14ac:dyDescent="0.2">
      <c r="T892" s="29"/>
      <c r="U892" s="29"/>
      <c r="AD892" s="30"/>
      <c r="AE892" s="30"/>
      <c r="AO892" s="31"/>
      <c r="AP892" s="31"/>
      <c r="BA892" s="32"/>
      <c r="BB892" s="32"/>
    </row>
    <row r="893" spans="20:54" ht="12.75" x14ac:dyDescent="0.2">
      <c r="T893" s="29"/>
      <c r="U893" s="29"/>
      <c r="AD893" s="30"/>
      <c r="AE893" s="30"/>
      <c r="AO893" s="31"/>
      <c r="AP893" s="31"/>
      <c r="BA893" s="32"/>
      <c r="BB893" s="32"/>
    </row>
    <row r="894" spans="20:54" ht="12.75" x14ac:dyDescent="0.2">
      <c r="T894" s="29"/>
      <c r="U894" s="29"/>
      <c r="AD894" s="30"/>
      <c r="AE894" s="30"/>
      <c r="AO894" s="31"/>
      <c r="AP894" s="31"/>
      <c r="BA894" s="32"/>
      <c r="BB894" s="32"/>
    </row>
    <row r="895" spans="20:54" ht="12.75" x14ac:dyDescent="0.2">
      <c r="T895" s="29"/>
      <c r="U895" s="29"/>
      <c r="AD895" s="30"/>
      <c r="AE895" s="30"/>
      <c r="AO895" s="31"/>
      <c r="AP895" s="31"/>
      <c r="BA895" s="32"/>
      <c r="BB895" s="32"/>
    </row>
    <row r="896" spans="20:54" ht="12.75" x14ac:dyDescent="0.2">
      <c r="T896" s="29"/>
      <c r="U896" s="29"/>
      <c r="AD896" s="30"/>
      <c r="AE896" s="30"/>
      <c r="AO896" s="31"/>
      <c r="AP896" s="31"/>
      <c r="BA896" s="32"/>
      <c r="BB896" s="32"/>
    </row>
    <row r="897" spans="20:54" ht="12.75" x14ac:dyDescent="0.2">
      <c r="T897" s="29"/>
      <c r="U897" s="29"/>
      <c r="AD897" s="30"/>
      <c r="AE897" s="30"/>
      <c r="AO897" s="31"/>
      <c r="AP897" s="31"/>
      <c r="BA897" s="32"/>
      <c r="BB897" s="32"/>
    </row>
    <row r="898" spans="20:54" ht="12.75" x14ac:dyDescent="0.2">
      <c r="T898" s="29"/>
      <c r="U898" s="29"/>
      <c r="AD898" s="30"/>
      <c r="AE898" s="30"/>
      <c r="AO898" s="31"/>
      <c r="AP898" s="31"/>
      <c r="BA898" s="32"/>
      <c r="BB898" s="32"/>
    </row>
    <row r="899" spans="20:54" ht="12.75" x14ac:dyDescent="0.2">
      <c r="T899" s="29"/>
      <c r="U899" s="29"/>
      <c r="AD899" s="30"/>
      <c r="AE899" s="30"/>
      <c r="AO899" s="31"/>
      <c r="AP899" s="31"/>
      <c r="BA899" s="32"/>
      <c r="BB899" s="32"/>
    </row>
    <row r="900" spans="20:54" ht="12.75" x14ac:dyDescent="0.2">
      <c r="T900" s="29"/>
      <c r="U900" s="29"/>
      <c r="AD900" s="30"/>
      <c r="AE900" s="30"/>
      <c r="AO900" s="31"/>
      <c r="AP900" s="31"/>
      <c r="BA900" s="32"/>
      <c r="BB900" s="32"/>
    </row>
    <row r="901" spans="20:54" ht="12.75" x14ac:dyDescent="0.2">
      <c r="T901" s="29"/>
      <c r="U901" s="29"/>
      <c r="AD901" s="30"/>
      <c r="AE901" s="30"/>
      <c r="AO901" s="31"/>
      <c r="AP901" s="31"/>
      <c r="BA901" s="32"/>
      <c r="BB901" s="32"/>
    </row>
    <row r="902" spans="20:54" ht="12.75" x14ac:dyDescent="0.2">
      <c r="T902" s="29"/>
      <c r="U902" s="29"/>
      <c r="AD902" s="30"/>
      <c r="AE902" s="30"/>
      <c r="AO902" s="31"/>
      <c r="AP902" s="31"/>
      <c r="BA902" s="32"/>
      <c r="BB902" s="32"/>
    </row>
    <row r="903" spans="20:54" ht="12.75" x14ac:dyDescent="0.2">
      <c r="T903" s="29"/>
      <c r="U903" s="29"/>
      <c r="AD903" s="30"/>
      <c r="AE903" s="30"/>
      <c r="AO903" s="31"/>
      <c r="AP903" s="31"/>
      <c r="BA903" s="32"/>
      <c r="BB903" s="32"/>
    </row>
    <row r="904" spans="20:54" ht="12.75" x14ac:dyDescent="0.2">
      <c r="T904" s="29"/>
      <c r="U904" s="29"/>
      <c r="AD904" s="30"/>
      <c r="AE904" s="30"/>
      <c r="AO904" s="31"/>
      <c r="AP904" s="31"/>
      <c r="BA904" s="32"/>
      <c r="BB904" s="32"/>
    </row>
    <row r="905" spans="20:54" ht="12.75" x14ac:dyDescent="0.2">
      <c r="T905" s="29"/>
      <c r="U905" s="29"/>
      <c r="AD905" s="30"/>
      <c r="AE905" s="30"/>
      <c r="AO905" s="31"/>
      <c r="AP905" s="31"/>
      <c r="BA905" s="32"/>
      <c r="BB905" s="32"/>
    </row>
    <row r="906" spans="20:54" ht="12.75" x14ac:dyDescent="0.2">
      <c r="T906" s="29"/>
      <c r="U906" s="29"/>
      <c r="AD906" s="30"/>
      <c r="AE906" s="30"/>
      <c r="AO906" s="31"/>
      <c r="AP906" s="31"/>
      <c r="BA906" s="32"/>
      <c r="BB906" s="32"/>
    </row>
    <row r="907" spans="20:54" ht="12.75" x14ac:dyDescent="0.2">
      <c r="T907" s="29"/>
      <c r="U907" s="29"/>
      <c r="AD907" s="30"/>
      <c r="AE907" s="30"/>
      <c r="AO907" s="31"/>
      <c r="AP907" s="31"/>
      <c r="BA907" s="32"/>
      <c r="BB907" s="32"/>
    </row>
    <row r="908" spans="20:54" ht="12.75" x14ac:dyDescent="0.2">
      <c r="T908" s="29"/>
      <c r="U908" s="29"/>
      <c r="AD908" s="30"/>
      <c r="AE908" s="30"/>
      <c r="AO908" s="31"/>
      <c r="AP908" s="31"/>
      <c r="BA908" s="32"/>
      <c r="BB908" s="32"/>
    </row>
    <row r="909" spans="20:54" ht="12.75" x14ac:dyDescent="0.2">
      <c r="T909" s="29"/>
      <c r="U909" s="29"/>
      <c r="AD909" s="30"/>
      <c r="AE909" s="30"/>
      <c r="AO909" s="31"/>
      <c r="AP909" s="31"/>
      <c r="BA909" s="32"/>
      <c r="BB909" s="32"/>
    </row>
    <row r="910" spans="20:54" ht="12.75" x14ac:dyDescent="0.2">
      <c r="T910" s="29"/>
      <c r="U910" s="29"/>
      <c r="AD910" s="30"/>
      <c r="AE910" s="30"/>
      <c r="AO910" s="31"/>
      <c r="AP910" s="31"/>
      <c r="BA910" s="32"/>
      <c r="BB910" s="32"/>
    </row>
    <row r="911" spans="20:54" ht="12.75" x14ac:dyDescent="0.2">
      <c r="T911" s="29"/>
      <c r="U911" s="29"/>
      <c r="AD911" s="30"/>
      <c r="AE911" s="30"/>
      <c r="AO911" s="31"/>
      <c r="AP911" s="31"/>
      <c r="BA911" s="32"/>
      <c r="BB911" s="32"/>
    </row>
    <row r="912" spans="20:54" ht="12.75" x14ac:dyDescent="0.2">
      <c r="T912" s="29"/>
      <c r="U912" s="29"/>
      <c r="AD912" s="30"/>
      <c r="AE912" s="30"/>
      <c r="AO912" s="31"/>
      <c r="AP912" s="31"/>
      <c r="BA912" s="32"/>
      <c r="BB912" s="32"/>
    </row>
    <row r="913" spans="20:54" ht="12.75" x14ac:dyDescent="0.2">
      <c r="T913" s="29"/>
      <c r="U913" s="29"/>
      <c r="AD913" s="30"/>
      <c r="AE913" s="30"/>
      <c r="AO913" s="31"/>
      <c r="AP913" s="31"/>
      <c r="BA913" s="32"/>
      <c r="BB913" s="32"/>
    </row>
    <row r="914" spans="20:54" ht="12.75" x14ac:dyDescent="0.2">
      <c r="T914" s="29"/>
      <c r="U914" s="29"/>
      <c r="AD914" s="30"/>
      <c r="AE914" s="30"/>
      <c r="AO914" s="31"/>
      <c r="AP914" s="31"/>
      <c r="BA914" s="32"/>
      <c r="BB914" s="32"/>
    </row>
    <row r="915" spans="20:54" ht="12.75" x14ac:dyDescent="0.2">
      <c r="T915" s="29"/>
      <c r="U915" s="29"/>
      <c r="AD915" s="30"/>
      <c r="AE915" s="30"/>
      <c r="AO915" s="31"/>
      <c r="AP915" s="31"/>
      <c r="BA915" s="32"/>
      <c r="BB915" s="32"/>
    </row>
    <row r="916" spans="20:54" ht="12.75" x14ac:dyDescent="0.2">
      <c r="T916" s="29"/>
      <c r="U916" s="29"/>
      <c r="AD916" s="30"/>
      <c r="AE916" s="30"/>
      <c r="AO916" s="31"/>
      <c r="AP916" s="31"/>
      <c r="BA916" s="32"/>
      <c r="BB916" s="32"/>
    </row>
    <row r="917" spans="20:54" ht="12.75" x14ac:dyDescent="0.2">
      <c r="T917" s="29"/>
      <c r="U917" s="29"/>
      <c r="AD917" s="30"/>
      <c r="AE917" s="30"/>
      <c r="AO917" s="31"/>
      <c r="AP917" s="31"/>
      <c r="BA917" s="32"/>
      <c r="BB917" s="32"/>
    </row>
    <row r="918" spans="20:54" ht="12.75" x14ac:dyDescent="0.2">
      <c r="T918" s="29"/>
      <c r="U918" s="29"/>
      <c r="AD918" s="30"/>
      <c r="AE918" s="30"/>
      <c r="AO918" s="31"/>
      <c r="AP918" s="31"/>
      <c r="BA918" s="32"/>
      <c r="BB918" s="32"/>
    </row>
    <row r="919" spans="20:54" ht="12.75" x14ac:dyDescent="0.2">
      <c r="T919" s="29"/>
      <c r="U919" s="29"/>
      <c r="AD919" s="30"/>
      <c r="AE919" s="30"/>
      <c r="AO919" s="31"/>
      <c r="AP919" s="31"/>
      <c r="BA919" s="32"/>
      <c r="BB919" s="32"/>
    </row>
    <row r="920" spans="20:54" ht="12.75" x14ac:dyDescent="0.2">
      <c r="T920" s="29"/>
      <c r="U920" s="29"/>
      <c r="AD920" s="30"/>
      <c r="AE920" s="30"/>
      <c r="AO920" s="31"/>
      <c r="AP920" s="31"/>
      <c r="BA920" s="32"/>
      <c r="BB920" s="32"/>
    </row>
    <row r="921" spans="20:54" ht="12.75" x14ac:dyDescent="0.2">
      <c r="T921" s="29"/>
      <c r="U921" s="29"/>
      <c r="AD921" s="30"/>
      <c r="AE921" s="30"/>
      <c r="AO921" s="31"/>
      <c r="AP921" s="31"/>
      <c r="BA921" s="32"/>
      <c r="BB921" s="32"/>
    </row>
    <row r="922" spans="20:54" ht="12.75" x14ac:dyDescent="0.2">
      <c r="T922" s="29"/>
      <c r="U922" s="29"/>
      <c r="AD922" s="30"/>
      <c r="AE922" s="30"/>
      <c r="AO922" s="31"/>
      <c r="AP922" s="31"/>
      <c r="BA922" s="32"/>
      <c r="BB922" s="32"/>
    </row>
    <row r="923" spans="20:54" ht="12.75" x14ac:dyDescent="0.2">
      <c r="T923" s="29"/>
      <c r="U923" s="29"/>
      <c r="AD923" s="30"/>
      <c r="AE923" s="30"/>
      <c r="AO923" s="31"/>
      <c r="AP923" s="31"/>
      <c r="BA923" s="32"/>
      <c r="BB923" s="32"/>
    </row>
    <row r="924" spans="20:54" ht="12.75" x14ac:dyDescent="0.2">
      <c r="T924" s="29"/>
      <c r="U924" s="29"/>
      <c r="AD924" s="30"/>
      <c r="AE924" s="30"/>
      <c r="AO924" s="31"/>
      <c r="AP924" s="31"/>
      <c r="BA924" s="32"/>
      <c r="BB924" s="32"/>
    </row>
    <row r="925" spans="20:54" ht="12.75" x14ac:dyDescent="0.2">
      <c r="T925" s="29"/>
      <c r="U925" s="29"/>
      <c r="AD925" s="30"/>
      <c r="AE925" s="30"/>
      <c r="AO925" s="31"/>
      <c r="AP925" s="31"/>
      <c r="BA925" s="32"/>
      <c r="BB925" s="32"/>
    </row>
    <row r="926" spans="20:54" ht="12.75" x14ac:dyDescent="0.2">
      <c r="T926" s="29"/>
      <c r="U926" s="29"/>
      <c r="AD926" s="30"/>
      <c r="AE926" s="30"/>
      <c r="AO926" s="31"/>
      <c r="AP926" s="31"/>
      <c r="BA926" s="32"/>
      <c r="BB926" s="32"/>
    </row>
    <row r="927" spans="20:54" ht="12.75" x14ac:dyDescent="0.2">
      <c r="T927" s="29"/>
      <c r="U927" s="29"/>
      <c r="AD927" s="30"/>
      <c r="AE927" s="30"/>
      <c r="AO927" s="31"/>
      <c r="AP927" s="31"/>
      <c r="BA927" s="32"/>
      <c r="BB927" s="32"/>
    </row>
    <row r="928" spans="20:54" ht="12.75" x14ac:dyDescent="0.2">
      <c r="T928" s="29"/>
      <c r="U928" s="29"/>
      <c r="AD928" s="30"/>
      <c r="AE928" s="30"/>
      <c r="AO928" s="31"/>
      <c r="AP928" s="31"/>
      <c r="BA928" s="32"/>
      <c r="BB928" s="32"/>
    </row>
    <row r="929" spans="20:54" ht="12.75" x14ac:dyDescent="0.2">
      <c r="T929" s="29"/>
      <c r="U929" s="29"/>
      <c r="AD929" s="30"/>
      <c r="AE929" s="30"/>
      <c r="AO929" s="31"/>
      <c r="AP929" s="31"/>
      <c r="BA929" s="32"/>
      <c r="BB929" s="32"/>
    </row>
    <row r="930" spans="20:54" ht="12.75" x14ac:dyDescent="0.2">
      <c r="T930" s="29"/>
      <c r="U930" s="29"/>
      <c r="AD930" s="30"/>
      <c r="AE930" s="30"/>
      <c r="AO930" s="31"/>
      <c r="AP930" s="31"/>
      <c r="BA930" s="32"/>
      <c r="BB930" s="32"/>
    </row>
    <row r="931" spans="20:54" ht="12.75" x14ac:dyDescent="0.2">
      <c r="T931" s="29"/>
      <c r="U931" s="29"/>
      <c r="AD931" s="30"/>
      <c r="AE931" s="30"/>
      <c r="AO931" s="31"/>
      <c r="AP931" s="31"/>
      <c r="BA931" s="32"/>
      <c r="BB931" s="32"/>
    </row>
    <row r="932" spans="20:54" ht="12.75" x14ac:dyDescent="0.2">
      <c r="T932" s="29"/>
      <c r="U932" s="29"/>
      <c r="AD932" s="30"/>
      <c r="AE932" s="30"/>
      <c r="AO932" s="31"/>
      <c r="AP932" s="31"/>
      <c r="BA932" s="32"/>
      <c r="BB932" s="32"/>
    </row>
    <row r="933" spans="20:54" ht="12.75" x14ac:dyDescent="0.2">
      <c r="T933" s="29"/>
      <c r="U933" s="29"/>
      <c r="AD933" s="30"/>
      <c r="AE933" s="30"/>
      <c r="AO933" s="31"/>
      <c r="AP933" s="31"/>
      <c r="BA933" s="32"/>
      <c r="BB933" s="32"/>
    </row>
    <row r="934" spans="20:54" ht="12.75" x14ac:dyDescent="0.2">
      <c r="T934" s="29"/>
      <c r="U934" s="29"/>
      <c r="AD934" s="30"/>
      <c r="AE934" s="30"/>
      <c r="AO934" s="31"/>
      <c r="AP934" s="31"/>
      <c r="BA934" s="32"/>
      <c r="BB934" s="32"/>
    </row>
    <row r="935" spans="20:54" ht="12.75" x14ac:dyDescent="0.2">
      <c r="T935" s="29"/>
      <c r="U935" s="29"/>
      <c r="AD935" s="30"/>
      <c r="AE935" s="30"/>
      <c r="AO935" s="31"/>
      <c r="AP935" s="31"/>
      <c r="BA935" s="32"/>
      <c r="BB935" s="32"/>
    </row>
    <row r="936" spans="20:54" ht="12.75" x14ac:dyDescent="0.2">
      <c r="T936" s="29"/>
      <c r="U936" s="29"/>
      <c r="AD936" s="30"/>
      <c r="AE936" s="30"/>
      <c r="AO936" s="31"/>
      <c r="AP936" s="31"/>
      <c r="BA936" s="32"/>
      <c r="BB936" s="32"/>
    </row>
    <row r="937" spans="20:54" ht="12.75" x14ac:dyDescent="0.2">
      <c r="T937" s="29"/>
      <c r="U937" s="29"/>
      <c r="AD937" s="30"/>
      <c r="AE937" s="30"/>
      <c r="AO937" s="31"/>
      <c r="AP937" s="31"/>
      <c r="BA937" s="32"/>
      <c r="BB937" s="32"/>
    </row>
    <row r="938" spans="20:54" ht="12.75" x14ac:dyDescent="0.2">
      <c r="T938" s="29"/>
      <c r="U938" s="29"/>
      <c r="AD938" s="30"/>
      <c r="AE938" s="30"/>
      <c r="AO938" s="31"/>
      <c r="AP938" s="31"/>
      <c r="BA938" s="32"/>
      <c r="BB938" s="32"/>
    </row>
    <row r="939" spans="20:54" ht="12.75" x14ac:dyDescent="0.2">
      <c r="T939" s="29"/>
      <c r="U939" s="29"/>
      <c r="AD939" s="30"/>
      <c r="AE939" s="30"/>
      <c r="AO939" s="31"/>
      <c r="AP939" s="31"/>
      <c r="BA939" s="32"/>
      <c r="BB939" s="32"/>
    </row>
    <row r="940" spans="20:54" ht="12.75" x14ac:dyDescent="0.2">
      <c r="T940" s="29"/>
      <c r="U940" s="29"/>
      <c r="AD940" s="30"/>
      <c r="AE940" s="30"/>
      <c r="AO940" s="31"/>
      <c r="AP940" s="31"/>
      <c r="BA940" s="32"/>
      <c r="BB940" s="32"/>
    </row>
    <row r="941" spans="20:54" ht="12.75" x14ac:dyDescent="0.2">
      <c r="T941" s="29"/>
      <c r="U941" s="29"/>
      <c r="AD941" s="30"/>
      <c r="AE941" s="30"/>
      <c r="AO941" s="31"/>
      <c r="AP941" s="31"/>
      <c r="BA941" s="32"/>
      <c r="BB941" s="32"/>
    </row>
    <row r="942" spans="20:54" ht="12.75" x14ac:dyDescent="0.2">
      <c r="T942" s="29"/>
      <c r="U942" s="29"/>
      <c r="AD942" s="30"/>
      <c r="AE942" s="30"/>
      <c r="AO942" s="31"/>
      <c r="AP942" s="31"/>
      <c r="BA942" s="32"/>
      <c r="BB942" s="32"/>
    </row>
    <row r="943" spans="20:54" ht="12.75" x14ac:dyDescent="0.2">
      <c r="T943" s="29"/>
      <c r="U943" s="29"/>
      <c r="AD943" s="30"/>
      <c r="AE943" s="30"/>
      <c r="AO943" s="31"/>
      <c r="AP943" s="31"/>
      <c r="BA943" s="32"/>
      <c r="BB943" s="32"/>
    </row>
    <row r="944" spans="20:54" ht="12.75" x14ac:dyDescent="0.2">
      <c r="T944" s="29"/>
      <c r="U944" s="29"/>
      <c r="AD944" s="30"/>
      <c r="AE944" s="30"/>
      <c r="AO944" s="31"/>
      <c r="AP944" s="31"/>
      <c r="BA944" s="32"/>
      <c r="BB944" s="32"/>
    </row>
    <row r="945" spans="20:54" ht="12.75" x14ac:dyDescent="0.2">
      <c r="T945" s="29"/>
      <c r="U945" s="29"/>
      <c r="AD945" s="30"/>
      <c r="AE945" s="30"/>
      <c r="AO945" s="31"/>
      <c r="AP945" s="31"/>
      <c r="BA945" s="32"/>
      <c r="BB945" s="32"/>
    </row>
    <row r="946" spans="20:54" ht="12.75" x14ac:dyDescent="0.2">
      <c r="T946" s="29"/>
      <c r="U946" s="29"/>
      <c r="AD946" s="30"/>
      <c r="AE946" s="30"/>
      <c r="AO946" s="31"/>
      <c r="AP946" s="31"/>
      <c r="BA946" s="32"/>
      <c r="BB946" s="32"/>
    </row>
    <row r="947" spans="20:54" ht="12.75" x14ac:dyDescent="0.2">
      <c r="T947" s="29"/>
      <c r="U947" s="29"/>
      <c r="AD947" s="30"/>
      <c r="AE947" s="30"/>
      <c r="AO947" s="31"/>
      <c r="AP947" s="31"/>
      <c r="BA947" s="32"/>
      <c r="BB947" s="32"/>
    </row>
    <row r="948" spans="20:54" ht="12.75" x14ac:dyDescent="0.2">
      <c r="T948" s="29"/>
      <c r="U948" s="29"/>
      <c r="AD948" s="30"/>
      <c r="AE948" s="30"/>
      <c r="AO948" s="31"/>
      <c r="AP948" s="31"/>
      <c r="BA948" s="32"/>
      <c r="BB948" s="32"/>
    </row>
    <row r="949" spans="20:54" ht="12.75" x14ac:dyDescent="0.2">
      <c r="T949" s="29"/>
      <c r="U949" s="29"/>
      <c r="AD949" s="30"/>
      <c r="AE949" s="30"/>
      <c r="AO949" s="31"/>
      <c r="AP949" s="31"/>
      <c r="BA949" s="32"/>
      <c r="BB949" s="32"/>
    </row>
    <row r="950" spans="20:54" ht="12.75" x14ac:dyDescent="0.2">
      <c r="T950" s="29"/>
      <c r="U950" s="29"/>
      <c r="AD950" s="30"/>
      <c r="AE950" s="30"/>
      <c r="AO950" s="31"/>
      <c r="AP950" s="31"/>
      <c r="BA950" s="32"/>
      <c r="BB950" s="32"/>
    </row>
    <row r="951" spans="20:54" ht="12.75" x14ac:dyDescent="0.2">
      <c r="T951" s="29"/>
      <c r="U951" s="29"/>
      <c r="AD951" s="30"/>
      <c r="AE951" s="30"/>
      <c r="AO951" s="31"/>
      <c r="AP951" s="31"/>
      <c r="BA951" s="32"/>
      <c r="BB951" s="32"/>
    </row>
    <row r="952" spans="20:54" ht="12.75" x14ac:dyDescent="0.2">
      <c r="T952" s="29"/>
      <c r="U952" s="29"/>
      <c r="AD952" s="30"/>
      <c r="AE952" s="30"/>
      <c r="AO952" s="31"/>
      <c r="AP952" s="31"/>
      <c r="BA952" s="32"/>
      <c r="BB952" s="32"/>
    </row>
    <row r="953" spans="20:54" ht="12.75" x14ac:dyDescent="0.2">
      <c r="T953" s="29"/>
      <c r="U953" s="29"/>
      <c r="AD953" s="30"/>
      <c r="AE953" s="30"/>
      <c r="AO953" s="31"/>
      <c r="AP953" s="31"/>
      <c r="BA953" s="32"/>
      <c r="BB953" s="32"/>
    </row>
    <row r="954" spans="20:54" ht="12.75" x14ac:dyDescent="0.2">
      <c r="T954" s="29"/>
      <c r="U954" s="29"/>
      <c r="AD954" s="30"/>
      <c r="AE954" s="30"/>
      <c r="AO954" s="31"/>
      <c r="AP954" s="31"/>
      <c r="BA954" s="32"/>
      <c r="BB954" s="32"/>
    </row>
    <row r="955" spans="20:54" ht="12.75" x14ac:dyDescent="0.2">
      <c r="T955" s="29"/>
      <c r="U955" s="29"/>
      <c r="AD955" s="30"/>
      <c r="AE955" s="30"/>
      <c r="AO955" s="31"/>
      <c r="AP955" s="31"/>
      <c r="BA955" s="32"/>
      <c r="BB955" s="32"/>
    </row>
    <row r="956" spans="20:54" ht="12.75" x14ac:dyDescent="0.2">
      <c r="T956" s="29"/>
      <c r="U956" s="29"/>
      <c r="AD956" s="30"/>
      <c r="AE956" s="30"/>
      <c r="AO956" s="31"/>
      <c r="AP956" s="31"/>
      <c r="BA956" s="32"/>
      <c r="BB956" s="32"/>
    </row>
    <row r="957" spans="20:54" ht="12.75" x14ac:dyDescent="0.2">
      <c r="T957" s="29"/>
      <c r="U957" s="29"/>
      <c r="AD957" s="30"/>
      <c r="AE957" s="30"/>
      <c r="AO957" s="31"/>
      <c r="AP957" s="31"/>
      <c r="BA957" s="32"/>
      <c r="BB957" s="32"/>
    </row>
    <row r="958" spans="20:54" ht="12.75" x14ac:dyDescent="0.2">
      <c r="T958" s="29"/>
      <c r="U958" s="29"/>
      <c r="AD958" s="30"/>
      <c r="AE958" s="30"/>
      <c r="AO958" s="31"/>
      <c r="AP958" s="31"/>
      <c r="BA958" s="32"/>
      <c r="BB958" s="32"/>
    </row>
    <row r="959" spans="20:54" ht="12.75" x14ac:dyDescent="0.2">
      <c r="T959" s="29"/>
      <c r="U959" s="29"/>
      <c r="AD959" s="30"/>
      <c r="AE959" s="30"/>
      <c r="AO959" s="31"/>
      <c r="AP959" s="31"/>
      <c r="BA959" s="32"/>
      <c r="BB959" s="32"/>
    </row>
    <row r="960" spans="20:54" ht="12.75" x14ac:dyDescent="0.2">
      <c r="T960" s="29"/>
      <c r="U960" s="29"/>
      <c r="AD960" s="30"/>
      <c r="AE960" s="30"/>
      <c r="AO960" s="31"/>
      <c r="AP960" s="31"/>
      <c r="BA960" s="32"/>
      <c r="BB960" s="32"/>
    </row>
    <row r="961" spans="20:54" ht="12.75" x14ac:dyDescent="0.2">
      <c r="T961" s="29"/>
      <c r="U961" s="29"/>
      <c r="AD961" s="30"/>
      <c r="AE961" s="30"/>
      <c r="AO961" s="31"/>
      <c r="AP961" s="31"/>
      <c r="BA961" s="32"/>
      <c r="BB961" s="32"/>
    </row>
    <row r="962" spans="20:54" ht="12.75" x14ac:dyDescent="0.2">
      <c r="T962" s="29"/>
      <c r="U962" s="29"/>
      <c r="AD962" s="30"/>
      <c r="AE962" s="30"/>
      <c r="AO962" s="31"/>
      <c r="AP962" s="31"/>
      <c r="BA962" s="32"/>
      <c r="BB962" s="32"/>
    </row>
    <row r="963" spans="20:54" ht="12.75" x14ac:dyDescent="0.2">
      <c r="T963" s="29"/>
      <c r="U963" s="29"/>
      <c r="AD963" s="30"/>
      <c r="AE963" s="30"/>
      <c r="AO963" s="31"/>
      <c r="AP963" s="31"/>
      <c r="BA963" s="32"/>
      <c r="BB963" s="32"/>
    </row>
    <row r="964" spans="20:54" ht="12.75" x14ac:dyDescent="0.2">
      <c r="T964" s="29"/>
      <c r="U964" s="29"/>
      <c r="AD964" s="30"/>
      <c r="AE964" s="30"/>
      <c r="AO964" s="31"/>
      <c r="AP964" s="31"/>
      <c r="BA964" s="32"/>
      <c r="BB964" s="32"/>
    </row>
    <row r="965" spans="20:54" ht="12.75" x14ac:dyDescent="0.2">
      <c r="T965" s="29"/>
      <c r="U965" s="29"/>
      <c r="AD965" s="30"/>
      <c r="AE965" s="30"/>
      <c r="AO965" s="31"/>
      <c r="AP965" s="31"/>
      <c r="BA965" s="32"/>
      <c r="BB965" s="32"/>
    </row>
    <row r="966" spans="20:54" ht="12.75" x14ac:dyDescent="0.2">
      <c r="T966" s="29"/>
      <c r="U966" s="29"/>
      <c r="AD966" s="30"/>
      <c r="AE966" s="30"/>
      <c r="AO966" s="31"/>
      <c r="AP966" s="31"/>
      <c r="BA966" s="32"/>
      <c r="BB966" s="32"/>
    </row>
    <row r="967" spans="20:54" ht="12.75" x14ac:dyDescent="0.2">
      <c r="T967" s="29"/>
      <c r="U967" s="29"/>
      <c r="AD967" s="30"/>
      <c r="AE967" s="30"/>
      <c r="AO967" s="31"/>
      <c r="AP967" s="31"/>
      <c r="BA967" s="32"/>
      <c r="BB967" s="32"/>
    </row>
    <row r="968" spans="20:54" ht="12.75" x14ac:dyDescent="0.2">
      <c r="T968" s="29"/>
      <c r="U968" s="29"/>
      <c r="AD968" s="30"/>
      <c r="AE968" s="30"/>
      <c r="AO968" s="31"/>
      <c r="AP968" s="31"/>
      <c r="BA968" s="32"/>
      <c r="BB968" s="32"/>
    </row>
    <row r="969" spans="20:54" ht="12.75" x14ac:dyDescent="0.2">
      <c r="T969" s="29"/>
      <c r="U969" s="29"/>
      <c r="AD969" s="30"/>
      <c r="AE969" s="30"/>
      <c r="AO969" s="31"/>
      <c r="AP969" s="31"/>
      <c r="BA969" s="32"/>
      <c r="BB969" s="32"/>
    </row>
    <row r="970" spans="20:54" ht="12.75" x14ac:dyDescent="0.2">
      <c r="T970" s="29"/>
      <c r="U970" s="29"/>
      <c r="AD970" s="30"/>
      <c r="AE970" s="30"/>
      <c r="AO970" s="31"/>
      <c r="AP970" s="31"/>
      <c r="BA970" s="32"/>
      <c r="BB970" s="32"/>
    </row>
    <row r="971" spans="20:54" ht="12.75" x14ac:dyDescent="0.2">
      <c r="T971" s="29"/>
      <c r="U971" s="29"/>
      <c r="AD971" s="30"/>
      <c r="AE971" s="30"/>
      <c r="AO971" s="31"/>
      <c r="AP971" s="31"/>
      <c r="BA971" s="32"/>
      <c r="BB971" s="32"/>
    </row>
    <row r="972" spans="20:54" ht="12.75" x14ac:dyDescent="0.2">
      <c r="T972" s="29"/>
      <c r="U972" s="29"/>
      <c r="AD972" s="30"/>
      <c r="AE972" s="30"/>
      <c r="AO972" s="31"/>
      <c r="AP972" s="31"/>
      <c r="BA972" s="32"/>
      <c r="BB972" s="32"/>
    </row>
    <row r="973" spans="20:54" ht="12.75" x14ac:dyDescent="0.2">
      <c r="T973" s="29"/>
      <c r="U973" s="29"/>
      <c r="AD973" s="30"/>
      <c r="AE973" s="30"/>
      <c r="AO973" s="31"/>
      <c r="AP973" s="31"/>
      <c r="BA973" s="32"/>
      <c r="BB973" s="32"/>
    </row>
    <row r="974" spans="20:54" ht="12.75" x14ac:dyDescent="0.2">
      <c r="T974" s="29"/>
      <c r="U974" s="29"/>
      <c r="AD974" s="30"/>
      <c r="AE974" s="30"/>
      <c r="AO974" s="31"/>
      <c r="AP974" s="31"/>
      <c r="BA974" s="32"/>
      <c r="BB974" s="32"/>
    </row>
    <row r="975" spans="20:54" ht="12.75" x14ac:dyDescent="0.2">
      <c r="T975" s="29"/>
      <c r="U975" s="29"/>
      <c r="AD975" s="30"/>
      <c r="AE975" s="30"/>
      <c r="AO975" s="31"/>
      <c r="AP975" s="31"/>
      <c r="BA975" s="32"/>
      <c r="BB975" s="32"/>
    </row>
    <row r="976" spans="20:54" ht="12.75" x14ac:dyDescent="0.2">
      <c r="T976" s="29"/>
      <c r="U976" s="29"/>
      <c r="AD976" s="30"/>
      <c r="AE976" s="30"/>
      <c r="AO976" s="31"/>
      <c r="AP976" s="31"/>
      <c r="BA976" s="32"/>
      <c r="BB976" s="32"/>
    </row>
    <row r="977" spans="20:54" ht="12.75" x14ac:dyDescent="0.2">
      <c r="T977" s="29"/>
      <c r="U977" s="29"/>
      <c r="AD977" s="30"/>
      <c r="AE977" s="30"/>
      <c r="AO977" s="31"/>
      <c r="AP977" s="31"/>
      <c r="BA977" s="32"/>
      <c r="BB977" s="32"/>
    </row>
    <row r="978" spans="20:54" ht="12.75" x14ac:dyDescent="0.2">
      <c r="T978" s="29"/>
      <c r="U978" s="29"/>
      <c r="AD978" s="30"/>
      <c r="AE978" s="30"/>
      <c r="AO978" s="31"/>
      <c r="AP978" s="31"/>
      <c r="BA978" s="32"/>
      <c r="BB978" s="32"/>
    </row>
    <row r="979" spans="20:54" ht="12.75" x14ac:dyDescent="0.2">
      <c r="T979" s="29"/>
      <c r="U979" s="29"/>
      <c r="AD979" s="30"/>
      <c r="AE979" s="30"/>
      <c r="AO979" s="31"/>
      <c r="AP979" s="31"/>
      <c r="BA979" s="32"/>
      <c r="BB979" s="32"/>
    </row>
    <row r="980" spans="20:54" ht="12.75" x14ac:dyDescent="0.2">
      <c r="T980" s="29"/>
      <c r="U980" s="29"/>
      <c r="AD980" s="30"/>
      <c r="AE980" s="30"/>
      <c r="AO980" s="31"/>
      <c r="AP980" s="31"/>
      <c r="BA980" s="32"/>
      <c r="BB980" s="32"/>
    </row>
    <row r="981" spans="20:54" ht="12.75" x14ac:dyDescent="0.2">
      <c r="T981" s="29"/>
      <c r="U981" s="29"/>
      <c r="AD981" s="30"/>
      <c r="AE981" s="30"/>
      <c r="AO981" s="31"/>
      <c r="AP981" s="31"/>
      <c r="BA981" s="32"/>
      <c r="BB981" s="32"/>
    </row>
    <row r="982" spans="20:54" ht="12.75" x14ac:dyDescent="0.2">
      <c r="T982" s="29"/>
      <c r="U982" s="29"/>
      <c r="AD982" s="30"/>
      <c r="AE982" s="30"/>
      <c r="AO982" s="31"/>
      <c r="AP982" s="31"/>
      <c r="BA982" s="32"/>
      <c r="BB982" s="32"/>
    </row>
    <row r="983" spans="20:54" ht="12.75" x14ac:dyDescent="0.2">
      <c r="T983" s="29"/>
      <c r="U983" s="29"/>
      <c r="AD983" s="30"/>
      <c r="AE983" s="30"/>
      <c r="AO983" s="31"/>
      <c r="AP983" s="31"/>
      <c r="BA983" s="32"/>
      <c r="BB983" s="32"/>
    </row>
    <row r="984" spans="20:54" ht="12.75" x14ac:dyDescent="0.2">
      <c r="T984" s="29"/>
      <c r="U984" s="29"/>
      <c r="AD984" s="30"/>
      <c r="AE984" s="30"/>
      <c r="AO984" s="31"/>
      <c r="AP984" s="31"/>
      <c r="BA984" s="32"/>
      <c r="BB984" s="32"/>
    </row>
    <row r="985" spans="20:54" ht="12.75" x14ac:dyDescent="0.2">
      <c r="T985" s="29"/>
      <c r="U985" s="29"/>
      <c r="AD985" s="30"/>
      <c r="AE985" s="30"/>
      <c r="AO985" s="31"/>
      <c r="AP985" s="31"/>
      <c r="BA985" s="32"/>
      <c r="BB985" s="32"/>
    </row>
    <row r="986" spans="20:54" ht="12.75" x14ac:dyDescent="0.2">
      <c r="T986" s="29"/>
      <c r="U986" s="29"/>
      <c r="AD986" s="30"/>
      <c r="AE986" s="30"/>
      <c r="AO986" s="31"/>
      <c r="AP986" s="31"/>
      <c r="BA986" s="32"/>
      <c r="BB986" s="32"/>
    </row>
    <row r="987" spans="20:54" ht="12.75" x14ac:dyDescent="0.2">
      <c r="T987" s="29"/>
      <c r="U987" s="29"/>
      <c r="AD987" s="30"/>
      <c r="AE987" s="30"/>
      <c r="AO987" s="31"/>
      <c r="AP987" s="31"/>
      <c r="BA987" s="32"/>
      <c r="BB987" s="32"/>
    </row>
    <row r="988" spans="20:54" ht="12.75" x14ac:dyDescent="0.2">
      <c r="T988" s="29"/>
      <c r="U988" s="29"/>
      <c r="AD988" s="30"/>
      <c r="AE988" s="30"/>
      <c r="AO988" s="31"/>
      <c r="AP988" s="31"/>
      <c r="BA988" s="32"/>
      <c r="BB988" s="32"/>
    </row>
    <row r="989" spans="20:54" ht="12.75" x14ac:dyDescent="0.2">
      <c r="T989" s="29"/>
      <c r="U989" s="29"/>
      <c r="AD989" s="30"/>
      <c r="AE989" s="30"/>
      <c r="AO989" s="31"/>
      <c r="AP989" s="31"/>
      <c r="BA989" s="32"/>
      <c r="BB989" s="32"/>
    </row>
    <row r="990" spans="20:54" ht="12.75" x14ac:dyDescent="0.2">
      <c r="T990" s="29"/>
      <c r="U990" s="29"/>
      <c r="AD990" s="30"/>
      <c r="AE990" s="30"/>
      <c r="AO990" s="31"/>
      <c r="AP990" s="31"/>
      <c r="BA990" s="32"/>
      <c r="BB990" s="32"/>
    </row>
    <row r="991" spans="20:54" ht="12.75" x14ac:dyDescent="0.2">
      <c r="T991" s="29"/>
      <c r="U991" s="29"/>
      <c r="AD991" s="30"/>
      <c r="AE991" s="30"/>
      <c r="AO991" s="31"/>
      <c r="AP991" s="31"/>
      <c r="BA991" s="32"/>
      <c r="BB991" s="32"/>
    </row>
    <row r="992" spans="20:54" ht="12.75" x14ac:dyDescent="0.2">
      <c r="T992" s="29"/>
      <c r="U992" s="29"/>
      <c r="AD992" s="30"/>
      <c r="AE992" s="30"/>
      <c r="AO992" s="31"/>
      <c r="AP992" s="31"/>
      <c r="BA992" s="32"/>
      <c r="BB992" s="32"/>
    </row>
    <row r="993" spans="20:54" ht="12.75" x14ac:dyDescent="0.2">
      <c r="T993" s="29"/>
      <c r="U993" s="29"/>
      <c r="AD993" s="30"/>
      <c r="AE993" s="30"/>
      <c r="AO993" s="31"/>
      <c r="AP993" s="31"/>
      <c r="BA993" s="32"/>
      <c r="BB993" s="32"/>
    </row>
    <row r="994" spans="20:54" ht="12.75" x14ac:dyDescent="0.2">
      <c r="T994" s="29"/>
      <c r="U994" s="29"/>
      <c r="AD994" s="30"/>
      <c r="AE994" s="30"/>
      <c r="AO994" s="31"/>
      <c r="AP994" s="31"/>
      <c r="BA994" s="32"/>
      <c r="BB994" s="32"/>
    </row>
    <row r="995" spans="20:54" ht="12.75" x14ac:dyDescent="0.2">
      <c r="T995" s="29"/>
      <c r="U995" s="29"/>
      <c r="AD995" s="30"/>
      <c r="AE995" s="30"/>
      <c r="AO995" s="31"/>
      <c r="AP995" s="31"/>
      <c r="BA995" s="32"/>
      <c r="BB995" s="32"/>
    </row>
    <row r="996" spans="20:54" ht="12.75" x14ac:dyDescent="0.2">
      <c r="T996" s="29"/>
      <c r="U996" s="29"/>
      <c r="AD996" s="30"/>
      <c r="AE996" s="30"/>
      <c r="AO996" s="31"/>
      <c r="AP996" s="31"/>
      <c r="BA996" s="32"/>
      <c r="BB996" s="32"/>
    </row>
    <row r="997" spans="20:54" ht="12.75" x14ac:dyDescent="0.2">
      <c r="T997" s="29"/>
      <c r="U997" s="29"/>
      <c r="AD997" s="30"/>
      <c r="AE997" s="30"/>
      <c r="AO997" s="31"/>
      <c r="AP997" s="31"/>
      <c r="BA997" s="32"/>
      <c r="BB997" s="32"/>
    </row>
    <row r="998" spans="20:54" ht="12.75" x14ac:dyDescent="0.2">
      <c r="T998" s="29"/>
      <c r="U998" s="29"/>
      <c r="AD998" s="30"/>
      <c r="AE998" s="30"/>
      <c r="AO998" s="31"/>
      <c r="AP998" s="31"/>
      <c r="BA998" s="32"/>
      <c r="BB998" s="32"/>
    </row>
    <row r="999" spans="20:54" ht="12.75" x14ac:dyDescent="0.2">
      <c r="T999" s="29"/>
      <c r="U999" s="29"/>
      <c r="AD999" s="30"/>
      <c r="AE999" s="30"/>
      <c r="AO999" s="31"/>
      <c r="AP999" s="31"/>
      <c r="BA999" s="32"/>
      <c r="BB999" s="32"/>
    </row>
    <row r="1000" spans="20:54" ht="12.75" x14ac:dyDescent="0.2">
      <c r="T1000" s="29"/>
      <c r="U1000" s="29"/>
      <c r="AD1000" s="30"/>
      <c r="AE1000" s="30"/>
      <c r="AO1000" s="31"/>
      <c r="AP1000" s="31"/>
      <c r="BA1000" s="32"/>
      <c r="BB1000" s="3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30"/>
  <sheetViews>
    <sheetView workbookViewId="0"/>
  </sheetViews>
  <sheetFormatPr defaultColWidth="12.5703125" defaultRowHeight="15.75" customHeight="1" x14ac:dyDescent="0.2"/>
  <cols>
    <col min="1" max="1" width="70.28515625" customWidth="1"/>
  </cols>
  <sheetData>
    <row r="1" spans="1:10" ht="12.75" x14ac:dyDescent="0.2">
      <c r="A1" s="19" t="s">
        <v>103</v>
      </c>
    </row>
    <row r="2" spans="1:10" ht="12.75" x14ac:dyDescent="0.2">
      <c r="A2" s="20" t="s">
        <v>0</v>
      </c>
    </row>
    <row r="3" spans="1:10" ht="12.75" x14ac:dyDescent="0.2">
      <c r="A3" s="20" t="s">
        <v>1</v>
      </c>
    </row>
    <row r="4" spans="1:10" ht="12.75" x14ac:dyDescent="0.2">
      <c r="A4" s="20" t="s">
        <v>104</v>
      </c>
    </row>
    <row r="5" spans="1:10" ht="12.75" x14ac:dyDescent="0.2">
      <c r="A5" s="20" t="s">
        <v>2</v>
      </c>
    </row>
    <row r="6" spans="1:10" ht="12.75" x14ac:dyDescent="0.2">
      <c r="A6" s="20" t="s">
        <v>3</v>
      </c>
    </row>
    <row r="7" spans="1:10" ht="12.75" x14ac:dyDescent="0.2">
      <c r="A7" s="20" t="s">
        <v>4</v>
      </c>
    </row>
    <row r="8" spans="1:10" ht="12.75" x14ac:dyDescent="0.2">
      <c r="A8" s="20" t="s">
        <v>5</v>
      </c>
    </row>
    <row r="9" spans="1:10" ht="12.75" x14ac:dyDescent="0.2">
      <c r="A9" s="20" t="s">
        <v>6</v>
      </c>
    </row>
    <row r="10" spans="1:10" ht="12.75" x14ac:dyDescent="0.2">
      <c r="A10" s="20" t="s">
        <v>7</v>
      </c>
    </row>
    <row r="11" spans="1:10" ht="12.75" x14ac:dyDescent="0.2">
      <c r="A11" s="20" t="s">
        <v>8</v>
      </c>
    </row>
    <row r="12" spans="1:10" ht="12.75" x14ac:dyDescent="0.2">
      <c r="A12" s="21" t="s">
        <v>105</v>
      </c>
      <c r="B12" s="21" t="s">
        <v>106</v>
      </c>
      <c r="C12" s="21" t="s">
        <v>107</v>
      </c>
      <c r="D12" s="21" t="s">
        <v>108</v>
      </c>
      <c r="E12" s="21" t="s">
        <v>108</v>
      </c>
      <c r="F12" s="21"/>
      <c r="G12" s="21"/>
      <c r="H12" s="21"/>
      <c r="I12" s="21" t="s">
        <v>106</v>
      </c>
      <c r="J12" s="21"/>
    </row>
    <row r="13" spans="1:10" ht="12.75" x14ac:dyDescent="0.2">
      <c r="A13" s="20" t="s">
        <v>9</v>
      </c>
      <c r="B13" s="20" t="s">
        <v>109</v>
      </c>
      <c r="C13" s="20"/>
      <c r="D13" s="20" t="s">
        <v>63</v>
      </c>
      <c r="E13" s="20" t="s">
        <v>83</v>
      </c>
    </row>
    <row r="14" spans="1:10" ht="12.75" x14ac:dyDescent="0.2">
      <c r="A14" s="20"/>
      <c r="C14" s="20">
        <v>1</v>
      </c>
      <c r="D14" s="20">
        <v>1</v>
      </c>
      <c r="E14" s="20">
        <v>0</v>
      </c>
    </row>
    <row r="15" spans="1:10" ht="12.75" x14ac:dyDescent="0.2">
      <c r="A15" s="20" t="s">
        <v>10</v>
      </c>
      <c r="B15" s="20" t="s">
        <v>109</v>
      </c>
      <c r="C15" s="20"/>
      <c r="D15" s="20" t="s">
        <v>63</v>
      </c>
      <c r="E15" s="20" t="s">
        <v>83</v>
      </c>
    </row>
    <row r="16" spans="1:10" ht="12.75" x14ac:dyDescent="0.2">
      <c r="A16" s="20"/>
      <c r="B16" s="20"/>
      <c r="C16" s="20">
        <v>1</v>
      </c>
      <c r="D16" s="20">
        <v>1</v>
      </c>
      <c r="E16" s="20">
        <v>0</v>
      </c>
    </row>
    <row r="17" spans="1:8" ht="12.75" x14ac:dyDescent="0.2">
      <c r="A17" s="20" t="s">
        <v>11</v>
      </c>
      <c r="B17" s="20" t="s">
        <v>66</v>
      </c>
      <c r="C17" s="20"/>
      <c r="D17" s="20" t="s">
        <v>80</v>
      </c>
      <c r="E17" s="20" t="s">
        <v>77</v>
      </c>
      <c r="F17" s="20" t="s">
        <v>94</v>
      </c>
      <c r="G17" s="20" t="s">
        <v>64</v>
      </c>
      <c r="H17" s="20" t="s">
        <v>66</v>
      </c>
    </row>
    <row r="18" spans="1:8" ht="12.75" x14ac:dyDescent="0.2">
      <c r="A18" s="20"/>
      <c r="B18" s="20"/>
      <c r="C18" s="20">
        <v>4</v>
      </c>
      <c r="D18" s="20">
        <v>0</v>
      </c>
      <c r="E18" s="20">
        <v>1</v>
      </c>
      <c r="F18" s="20">
        <v>2</v>
      </c>
      <c r="G18" s="20">
        <v>3</v>
      </c>
      <c r="H18" s="20">
        <v>4</v>
      </c>
    </row>
    <row r="19" spans="1:8" ht="12.75" x14ac:dyDescent="0.2">
      <c r="A19" s="20" t="s">
        <v>12</v>
      </c>
      <c r="B19" s="20" t="s">
        <v>73</v>
      </c>
      <c r="C19" s="20"/>
      <c r="D19" s="20" t="s">
        <v>82</v>
      </c>
      <c r="E19" s="20" t="s">
        <v>58</v>
      </c>
      <c r="F19" s="20" t="s">
        <v>79</v>
      </c>
      <c r="G19" s="20" t="s">
        <v>73</v>
      </c>
      <c r="H19" s="20" t="s">
        <v>86</v>
      </c>
    </row>
    <row r="20" spans="1:8" ht="12.75" x14ac:dyDescent="0.2">
      <c r="A20" s="20"/>
      <c r="B20" s="20"/>
      <c r="C20" s="20">
        <v>2</v>
      </c>
      <c r="D20" s="20">
        <v>1</v>
      </c>
      <c r="E20" s="20">
        <v>1</v>
      </c>
      <c r="F20" s="20">
        <v>0.5</v>
      </c>
      <c r="G20" s="20">
        <v>2</v>
      </c>
      <c r="H20" s="20">
        <v>0</v>
      </c>
    </row>
    <row r="21" spans="1:8" ht="12.75" x14ac:dyDescent="0.2">
      <c r="A21" s="20" t="s">
        <v>13</v>
      </c>
      <c r="B21" s="20" t="s">
        <v>78</v>
      </c>
      <c r="C21" s="20"/>
      <c r="D21" s="20" t="s">
        <v>91</v>
      </c>
      <c r="E21" s="20" t="s">
        <v>110</v>
      </c>
      <c r="F21" s="20" t="s">
        <v>111</v>
      </c>
      <c r="G21" s="20" t="s">
        <v>78</v>
      </c>
    </row>
    <row r="22" spans="1:8" ht="12.75" x14ac:dyDescent="0.2">
      <c r="A22" s="20"/>
      <c r="B22" s="20"/>
      <c r="C22" s="20">
        <v>2</v>
      </c>
      <c r="D22" s="20">
        <v>0.5</v>
      </c>
      <c r="E22" s="20">
        <v>1</v>
      </c>
      <c r="F22" s="20">
        <v>1.5</v>
      </c>
      <c r="G22" s="20">
        <v>2</v>
      </c>
    </row>
    <row r="23" spans="1:8" ht="12.75" x14ac:dyDescent="0.2">
      <c r="A23" s="20" t="s">
        <v>14</v>
      </c>
      <c r="B23" s="20" t="s">
        <v>109</v>
      </c>
      <c r="D23" s="20" t="s">
        <v>63</v>
      </c>
      <c r="E23" s="20" t="s">
        <v>83</v>
      </c>
    </row>
    <row r="24" spans="1:8" ht="12.75" x14ac:dyDescent="0.2">
      <c r="A24" s="20"/>
      <c r="B24" s="20"/>
      <c r="C24" s="20">
        <v>1</v>
      </c>
      <c r="D24" s="20">
        <v>1</v>
      </c>
      <c r="E24" s="20">
        <v>0</v>
      </c>
    </row>
    <row r="25" spans="1:8" ht="12.75" x14ac:dyDescent="0.2">
      <c r="A25" s="20" t="s">
        <v>15</v>
      </c>
      <c r="B25" s="20" t="s">
        <v>66</v>
      </c>
      <c r="C25" s="20"/>
      <c r="D25" s="20" t="s">
        <v>66</v>
      </c>
      <c r="E25" s="20" t="s">
        <v>64</v>
      </c>
      <c r="F25" s="20" t="s">
        <v>94</v>
      </c>
      <c r="G25" s="20" t="s">
        <v>77</v>
      </c>
      <c r="H25" s="20" t="s">
        <v>80</v>
      </c>
    </row>
    <row r="26" spans="1:8" ht="12.75" x14ac:dyDescent="0.2">
      <c r="A26" s="20"/>
      <c r="B26" s="20"/>
      <c r="C26" s="20">
        <v>2</v>
      </c>
      <c r="D26" s="20">
        <v>2</v>
      </c>
      <c r="E26" s="20">
        <v>1.5</v>
      </c>
      <c r="F26" s="20">
        <v>1</v>
      </c>
      <c r="G26" s="20">
        <v>0.5</v>
      </c>
      <c r="H26" s="20">
        <v>0</v>
      </c>
    </row>
    <row r="27" spans="1:8" ht="12.75" x14ac:dyDescent="0.2">
      <c r="A27" s="20" t="s">
        <v>16</v>
      </c>
      <c r="B27" s="20" t="s">
        <v>109</v>
      </c>
      <c r="C27" s="20"/>
      <c r="D27" s="20" t="s">
        <v>63</v>
      </c>
      <c r="E27" s="20" t="s">
        <v>83</v>
      </c>
    </row>
    <row r="28" spans="1:8" ht="12.75" x14ac:dyDescent="0.2">
      <c r="A28" s="20"/>
      <c r="B28" s="20"/>
      <c r="C28" s="20">
        <v>1</v>
      </c>
      <c r="D28" s="20">
        <v>1</v>
      </c>
      <c r="E28" s="20">
        <v>0</v>
      </c>
    </row>
    <row r="29" spans="1:8" ht="12.75" x14ac:dyDescent="0.2">
      <c r="A29" s="20" t="s">
        <v>17</v>
      </c>
      <c r="B29" s="20" t="s">
        <v>112</v>
      </c>
      <c r="C29" s="20"/>
      <c r="D29" s="20" t="s">
        <v>112</v>
      </c>
      <c r="E29" s="20" t="s">
        <v>65</v>
      </c>
      <c r="F29" s="20" t="s">
        <v>90</v>
      </c>
      <c r="G29" s="20" t="s">
        <v>87</v>
      </c>
      <c r="H29" s="20" t="s">
        <v>88</v>
      </c>
    </row>
    <row r="30" spans="1:8" ht="12.75" x14ac:dyDescent="0.2">
      <c r="A30" s="20"/>
      <c r="B30" s="20"/>
      <c r="C30" s="20">
        <v>2</v>
      </c>
      <c r="D30" s="20">
        <v>2</v>
      </c>
      <c r="E30" s="20">
        <v>1.5</v>
      </c>
      <c r="F30" s="20">
        <v>1</v>
      </c>
      <c r="G30" s="20">
        <v>0.5</v>
      </c>
      <c r="H30" s="20">
        <v>0</v>
      </c>
    </row>
    <row r="31" spans="1:8" ht="12.75" x14ac:dyDescent="0.2">
      <c r="A31" s="20" t="s">
        <v>18</v>
      </c>
      <c r="B31" s="20" t="s">
        <v>66</v>
      </c>
      <c r="C31" s="20"/>
      <c r="D31" s="20" t="s">
        <v>66</v>
      </c>
      <c r="E31" s="20" t="s">
        <v>64</v>
      </c>
      <c r="F31" s="20" t="s">
        <v>94</v>
      </c>
      <c r="G31" s="20" t="s">
        <v>77</v>
      </c>
      <c r="H31" s="20" t="s">
        <v>80</v>
      </c>
    </row>
    <row r="32" spans="1:8" ht="12.75" x14ac:dyDescent="0.2">
      <c r="A32" s="20"/>
      <c r="B32" s="20"/>
      <c r="C32" s="20">
        <v>2</v>
      </c>
      <c r="D32" s="20">
        <v>2</v>
      </c>
      <c r="E32" s="20">
        <v>1.5</v>
      </c>
      <c r="F32" s="20">
        <v>1</v>
      </c>
      <c r="G32" s="20">
        <v>0.5</v>
      </c>
      <c r="H32" s="20">
        <v>0</v>
      </c>
    </row>
    <row r="33" spans="1:10" ht="12.75" x14ac:dyDescent="0.2">
      <c r="A33" s="20"/>
      <c r="B33" s="22" t="s">
        <v>113</v>
      </c>
      <c r="C33" s="22">
        <f>C14+C16+C18+C20+C22+C24+C26+C28+C30+C32</f>
        <v>18</v>
      </c>
      <c r="D33" s="20"/>
      <c r="E33" s="20"/>
      <c r="F33" s="20"/>
      <c r="G33" s="20"/>
      <c r="H33" s="20"/>
    </row>
    <row r="34" spans="1:10" ht="12.75" x14ac:dyDescent="0.2">
      <c r="A34" s="23" t="s">
        <v>114</v>
      </c>
      <c r="B34" s="23"/>
      <c r="C34" s="23"/>
      <c r="D34" s="23"/>
      <c r="E34" s="23"/>
      <c r="F34" s="23"/>
      <c r="G34" s="23"/>
      <c r="H34" s="23"/>
      <c r="I34" s="23"/>
      <c r="J34" s="23"/>
    </row>
    <row r="35" spans="1:10" ht="12.75" x14ac:dyDescent="0.2">
      <c r="A35" s="20" t="s">
        <v>21</v>
      </c>
      <c r="B35" s="20" t="s">
        <v>109</v>
      </c>
      <c r="C35" s="20">
        <v>1</v>
      </c>
      <c r="D35" s="20" t="s">
        <v>109</v>
      </c>
      <c r="E35" s="20" t="s">
        <v>83</v>
      </c>
    </row>
    <row r="36" spans="1:10" ht="12.75" x14ac:dyDescent="0.2">
      <c r="A36" s="20"/>
      <c r="B36" s="20"/>
      <c r="C36" s="20"/>
      <c r="D36" s="20">
        <v>1</v>
      </c>
      <c r="E36" s="20">
        <v>0</v>
      </c>
    </row>
    <row r="37" spans="1:10" ht="12.75" x14ac:dyDescent="0.2">
      <c r="A37" s="20" t="s">
        <v>22</v>
      </c>
      <c r="B37" s="20" t="s">
        <v>109</v>
      </c>
      <c r="C37" s="20">
        <v>1</v>
      </c>
      <c r="D37" s="20" t="s">
        <v>109</v>
      </c>
      <c r="E37" s="20" t="s">
        <v>83</v>
      </c>
    </row>
    <row r="38" spans="1:10" ht="12.75" x14ac:dyDescent="0.2">
      <c r="A38" s="20"/>
      <c r="B38" s="20"/>
      <c r="C38" s="20"/>
      <c r="D38" s="20">
        <v>1</v>
      </c>
      <c r="E38" s="20">
        <v>0</v>
      </c>
    </row>
    <row r="39" spans="1:10" ht="12.75" x14ac:dyDescent="0.2">
      <c r="A39" s="20" t="s">
        <v>23</v>
      </c>
      <c r="B39" s="20" t="s">
        <v>109</v>
      </c>
      <c r="C39" s="20">
        <v>1</v>
      </c>
      <c r="D39" s="20" t="s">
        <v>109</v>
      </c>
      <c r="E39" s="20" t="s">
        <v>83</v>
      </c>
    </row>
    <row r="40" spans="1:10" ht="12.75" x14ac:dyDescent="0.2">
      <c r="A40" s="20"/>
      <c r="B40" s="20"/>
      <c r="C40" s="20"/>
      <c r="D40" s="20">
        <v>1</v>
      </c>
      <c r="E40" s="20">
        <v>0</v>
      </c>
    </row>
    <row r="41" spans="1:10" ht="12.75" x14ac:dyDescent="0.2">
      <c r="A41" s="20" t="s">
        <v>24</v>
      </c>
      <c r="B41" s="20" t="s">
        <v>109</v>
      </c>
      <c r="C41" s="20">
        <v>1</v>
      </c>
      <c r="D41" s="20" t="s">
        <v>109</v>
      </c>
      <c r="E41" s="20" t="s">
        <v>83</v>
      </c>
    </row>
    <row r="42" spans="1:10" ht="12.75" x14ac:dyDescent="0.2">
      <c r="A42" s="20"/>
      <c r="B42" s="20"/>
      <c r="C42" s="20"/>
      <c r="D42" s="20">
        <v>1</v>
      </c>
      <c r="E42" s="20">
        <v>0</v>
      </c>
    </row>
    <row r="43" spans="1:10" ht="12.75" x14ac:dyDescent="0.2">
      <c r="A43" s="20" t="s">
        <v>25</v>
      </c>
      <c r="B43" s="20" t="s">
        <v>109</v>
      </c>
      <c r="C43" s="20">
        <v>1</v>
      </c>
      <c r="D43" s="20" t="s">
        <v>109</v>
      </c>
      <c r="E43" s="20" t="s">
        <v>83</v>
      </c>
    </row>
    <row r="44" spans="1:10" ht="12.75" x14ac:dyDescent="0.2">
      <c r="A44" s="20"/>
      <c r="B44" s="20"/>
      <c r="C44" s="20"/>
      <c r="D44" s="20">
        <v>1</v>
      </c>
      <c r="E44" s="20">
        <v>0</v>
      </c>
    </row>
    <row r="45" spans="1:10" ht="12.75" x14ac:dyDescent="0.2">
      <c r="A45" s="20" t="s">
        <v>26</v>
      </c>
      <c r="B45" s="20" t="s">
        <v>109</v>
      </c>
      <c r="C45" s="20">
        <v>1</v>
      </c>
      <c r="D45" s="20" t="s">
        <v>109</v>
      </c>
      <c r="E45" s="20" t="s">
        <v>83</v>
      </c>
    </row>
    <row r="46" spans="1:10" ht="12.75" x14ac:dyDescent="0.2">
      <c r="A46" s="20"/>
      <c r="B46" s="20"/>
      <c r="C46" s="20"/>
      <c r="D46" s="20">
        <v>1</v>
      </c>
      <c r="E46" s="20">
        <v>0</v>
      </c>
    </row>
    <row r="47" spans="1:10" ht="12.75" x14ac:dyDescent="0.2">
      <c r="A47" s="20" t="s">
        <v>27</v>
      </c>
      <c r="B47" s="20" t="s">
        <v>109</v>
      </c>
      <c r="C47" s="20">
        <v>1</v>
      </c>
      <c r="D47" s="20" t="s">
        <v>109</v>
      </c>
      <c r="E47" s="20" t="s">
        <v>83</v>
      </c>
    </row>
    <row r="48" spans="1:10" ht="12.75" x14ac:dyDescent="0.2">
      <c r="A48" s="20"/>
      <c r="B48" s="20"/>
      <c r="C48" s="20"/>
      <c r="D48" s="20">
        <v>1</v>
      </c>
      <c r="E48" s="20">
        <v>0</v>
      </c>
    </row>
    <row r="49" spans="1:8" ht="12.75" x14ac:dyDescent="0.2">
      <c r="A49" s="20" t="s">
        <v>28</v>
      </c>
      <c r="B49" s="20" t="s">
        <v>109</v>
      </c>
      <c r="C49" s="20">
        <v>1</v>
      </c>
      <c r="D49" s="20" t="s">
        <v>109</v>
      </c>
      <c r="E49" s="20" t="s">
        <v>83</v>
      </c>
    </row>
    <row r="50" spans="1:8" ht="12.75" x14ac:dyDescent="0.2">
      <c r="A50" s="20"/>
      <c r="B50" s="22" t="s">
        <v>115</v>
      </c>
      <c r="C50" s="22">
        <f>C35+C37+C39+C41+C43+C45+C47+C49</f>
        <v>8</v>
      </c>
      <c r="D50" s="20">
        <v>1</v>
      </c>
      <c r="E50" s="20">
        <v>0</v>
      </c>
    </row>
    <row r="51" spans="1:8" ht="12.75" x14ac:dyDescent="0.2">
      <c r="A51" s="24" t="s">
        <v>116</v>
      </c>
      <c r="B51" s="24"/>
      <c r="C51" s="24"/>
      <c r="D51" s="24"/>
      <c r="E51" s="24"/>
      <c r="F51" s="24"/>
      <c r="G51" s="24"/>
      <c r="H51" s="24"/>
    </row>
    <row r="52" spans="1:8" ht="12.75" x14ac:dyDescent="0.2">
      <c r="A52" s="20" t="s">
        <v>31</v>
      </c>
      <c r="B52" s="20" t="s">
        <v>112</v>
      </c>
      <c r="C52" s="20">
        <v>5</v>
      </c>
      <c r="D52" s="20" t="s">
        <v>112</v>
      </c>
      <c r="E52" s="20" t="s">
        <v>65</v>
      </c>
      <c r="F52" s="20" t="s">
        <v>90</v>
      </c>
      <c r="G52" s="20" t="s">
        <v>87</v>
      </c>
      <c r="H52" s="20" t="s">
        <v>88</v>
      </c>
    </row>
    <row r="53" spans="1:8" ht="12.75" x14ac:dyDescent="0.2">
      <c r="A53" s="20"/>
      <c r="B53" s="20"/>
      <c r="C53" s="20"/>
      <c r="D53" s="20">
        <v>5</v>
      </c>
      <c r="E53" s="20">
        <v>4</v>
      </c>
      <c r="F53" s="20">
        <v>3</v>
      </c>
      <c r="G53" s="20">
        <v>2</v>
      </c>
      <c r="H53" s="20">
        <v>1</v>
      </c>
    </row>
    <row r="54" spans="1:8" ht="12.75" x14ac:dyDescent="0.2">
      <c r="A54" s="20" t="s">
        <v>32</v>
      </c>
      <c r="B54" s="20" t="s">
        <v>112</v>
      </c>
      <c r="C54" s="20">
        <v>5</v>
      </c>
      <c r="D54" s="20" t="s">
        <v>112</v>
      </c>
      <c r="E54" s="20" t="s">
        <v>65</v>
      </c>
      <c r="F54" s="20" t="s">
        <v>90</v>
      </c>
      <c r="G54" s="20" t="s">
        <v>87</v>
      </c>
      <c r="H54" s="20" t="s">
        <v>88</v>
      </c>
    </row>
    <row r="55" spans="1:8" ht="12.75" x14ac:dyDescent="0.2">
      <c r="A55" s="20"/>
      <c r="B55" s="20"/>
      <c r="C55" s="20"/>
      <c r="D55" s="20">
        <v>5</v>
      </c>
      <c r="E55" s="20">
        <v>4</v>
      </c>
      <c r="F55" s="20">
        <v>3</v>
      </c>
      <c r="G55" s="20">
        <v>2</v>
      </c>
      <c r="H55" s="20">
        <v>1</v>
      </c>
    </row>
    <row r="56" spans="1:8" ht="12.75" x14ac:dyDescent="0.2">
      <c r="A56" s="20" t="s">
        <v>33</v>
      </c>
      <c r="B56" s="20" t="s">
        <v>112</v>
      </c>
      <c r="C56" s="20">
        <v>5</v>
      </c>
      <c r="D56" s="20" t="s">
        <v>112</v>
      </c>
      <c r="E56" s="20" t="s">
        <v>65</v>
      </c>
      <c r="F56" s="20" t="s">
        <v>90</v>
      </c>
      <c r="G56" s="20" t="s">
        <v>87</v>
      </c>
      <c r="H56" s="20" t="s">
        <v>88</v>
      </c>
    </row>
    <row r="57" spans="1:8" ht="12.75" x14ac:dyDescent="0.2">
      <c r="A57" s="20"/>
      <c r="B57" s="20"/>
      <c r="C57" s="20"/>
      <c r="D57" s="20">
        <v>5</v>
      </c>
      <c r="E57" s="20">
        <v>4</v>
      </c>
      <c r="F57" s="20">
        <v>3</v>
      </c>
      <c r="G57" s="20">
        <v>2</v>
      </c>
      <c r="H57" s="20">
        <v>1</v>
      </c>
    </row>
    <row r="58" spans="1:8" ht="12.75" x14ac:dyDescent="0.2">
      <c r="A58" s="20" t="s">
        <v>34</v>
      </c>
      <c r="B58" s="20" t="s">
        <v>112</v>
      </c>
      <c r="C58" s="20">
        <v>5</v>
      </c>
      <c r="D58" s="20" t="s">
        <v>112</v>
      </c>
      <c r="E58" s="20" t="s">
        <v>65</v>
      </c>
      <c r="F58" s="20" t="s">
        <v>90</v>
      </c>
      <c r="G58" s="20" t="s">
        <v>87</v>
      </c>
      <c r="H58" s="20" t="s">
        <v>88</v>
      </c>
    </row>
    <row r="59" spans="1:8" ht="12.75" x14ac:dyDescent="0.2">
      <c r="A59" s="20"/>
      <c r="B59" s="20"/>
      <c r="C59" s="20"/>
      <c r="D59" s="20">
        <v>5</v>
      </c>
      <c r="E59" s="20">
        <v>4</v>
      </c>
      <c r="F59" s="20">
        <v>3</v>
      </c>
      <c r="G59" s="20">
        <v>2</v>
      </c>
      <c r="H59" s="20">
        <v>1</v>
      </c>
    </row>
    <row r="60" spans="1:8" ht="12.75" x14ac:dyDescent="0.2">
      <c r="A60" s="20" t="s">
        <v>35</v>
      </c>
      <c r="B60" s="20" t="s">
        <v>112</v>
      </c>
      <c r="C60" s="20">
        <v>5</v>
      </c>
      <c r="D60" s="20" t="s">
        <v>112</v>
      </c>
      <c r="E60" s="20" t="s">
        <v>65</v>
      </c>
      <c r="F60" s="20" t="s">
        <v>90</v>
      </c>
      <c r="G60" s="20" t="s">
        <v>87</v>
      </c>
      <c r="H60" s="20" t="s">
        <v>88</v>
      </c>
    </row>
    <row r="61" spans="1:8" ht="12.75" x14ac:dyDescent="0.2">
      <c r="A61" s="20"/>
      <c r="B61" s="20"/>
      <c r="C61" s="20"/>
      <c r="D61" s="20">
        <v>5</v>
      </c>
      <c r="E61" s="20">
        <v>4</v>
      </c>
      <c r="F61" s="20">
        <v>3</v>
      </c>
      <c r="G61" s="20">
        <v>2</v>
      </c>
      <c r="H61" s="20">
        <v>1</v>
      </c>
    </row>
    <row r="62" spans="1:8" ht="12.75" x14ac:dyDescent="0.2">
      <c r="A62" s="20" t="s">
        <v>36</v>
      </c>
      <c r="B62" s="20" t="s">
        <v>112</v>
      </c>
      <c r="C62" s="20">
        <v>5</v>
      </c>
      <c r="D62" s="20" t="s">
        <v>112</v>
      </c>
      <c r="E62" s="20" t="s">
        <v>65</v>
      </c>
      <c r="F62" s="20" t="s">
        <v>90</v>
      </c>
      <c r="G62" s="20" t="s">
        <v>87</v>
      </c>
      <c r="H62" s="20" t="s">
        <v>88</v>
      </c>
    </row>
    <row r="63" spans="1:8" ht="12.75" x14ac:dyDescent="0.2">
      <c r="A63" s="20"/>
      <c r="B63" s="20"/>
      <c r="C63" s="20"/>
      <c r="D63" s="20">
        <v>5</v>
      </c>
      <c r="E63" s="20">
        <v>4</v>
      </c>
      <c r="F63" s="20">
        <v>3</v>
      </c>
      <c r="G63" s="20">
        <v>2</v>
      </c>
      <c r="H63" s="20">
        <v>1</v>
      </c>
    </row>
    <row r="64" spans="1:8" ht="12.75" x14ac:dyDescent="0.2">
      <c r="A64" s="20" t="s">
        <v>37</v>
      </c>
      <c r="B64" s="20" t="s">
        <v>112</v>
      </c>
      <c r="C64" s="20">
        <v>5</v>
      </c>
      <c r="D64" s="20" t="s">
        <v>112</v>
      </c>
      <c r="E64" s="20" t="s">
        <v>65</v>
      </c>
      <c r="F64" s="20" t="s">
        <v>90</v>
      </c>
      <c r="G64" s="20" t="s">
        <v>87</v>
      </c>
      <c r="H64" s="20" t="s">
        <v>88</v>
      </c>
    </row>
    <row r="65" spans="1:8" ht="12.75" x14ac:dyDescent="0.2">
      <c r="A65" s="20"/>
      <c r="B65" s="20"/>
      <c r="C65" s="20"/>
      <c r="D65" s="20">
        <v>5</v>
      </c>
      <c r="E65" s="20">
        <v>4</v>
      </c>
      <c r="F65" s="20">
        <v>3</v>
      </c>
      <c r="G65" s="20">
        <v>2</v>
      </c>
      <c r="H65" s="20">
        <v>1</v>
      </c>
    </row>
    <row r="66" spans="1:8" ht="12.75" x14ac:dyDescent="0.2">
      <c r="A66" s="20" t="s">
        <v>38</v>
      </c>
      <c r="B66" s="20" t="s">
        <v>112</v>
      </c>
      <c r="C66" s="20">
        <v>5</v>
      </c>
      <c r="D66" s="20" t="s">
        <v>112</v>
      </c>
      <c r="E66" s="20" t="s">
        <v>65</v>
      </c>
      <c r="F66" s="20" t="s">
        <v>90</v>
      </c>
      <c r="G66" s="20" t="s">
        <v>87</v>
      </c>
      <c r="H66" s="20" t="s">
        <v>88</v>
      </c>
    </row>
    <row r="67" spans="1:8" ht="12.75" x14ac:dyDescent="0.2">
      <c r="A67" s="20"/>
      <c r="B67" s="20"/>
      <c r="C67" s="20"/>
      <c r="D67" s="20">
        <v>5</v>
      </c>
      <c r="E67" s="20">
        <v>4</v>
      </c>
      <c r="F67" s="20">
        <v>3</v>
      </c>
      <c r="G67" s="20">
        <v>2</v>
      </c>
      <c r="H67" s="20">
        <v>1</v>
      </c>
    </row>
    <row r="68" spans="1:8" ht="12.75" x14ac:dyDescent="0.2">
      <c r="A68" s="20" t="s">
        <v>39</v>
      </c>
      <c r="B68" s="20" t="s">
        <v>112</v>
      </c>
      <c r="C68" s="20">
        <v>5</v>
      </c>
      <c r="D68" s="20" t="s">
        <v>112</v>
      </c>
      <c r="E68" s="20" t="s">
        <v>65</v>
      </c>
      <c r="F68" s="20" t="s">
        <v>90</v>
      </c>
      <c r="G68" s="20" t="s">
        <v>87</v>
      </c>
      <c r="H68" s="20" t="s">
        <v>88</v>
      </c>
    </row>
    <row r="69" spans="1:8" ht="12.75" x14ac:dyDescent="0.2">
      <c r="A69" s="20"/>
      <c r="B69" s="22" t="s">
        <v>113</v>
      </c>
      <c r="C69" s="22">
        <f>C52+C54+C56+C58+C60+C62+C64+C66+C68</f>
        <v>45</v>
      </c>
      <c r="D69" s="20">
        <v>5</v>
      </c>
      <c r="E69" s="20">
        <v>4</v>
      </c>
      <c r="F69" s="20">
        <v>3</v>
      </c>
      <c r="G69" s="20">
        <v>2</v>
      </c>
      <c r="H69" s="20">
        <v>1</v>
      </c>
    </row>
    <row r="70" spans="1:8" ht="12.75" x14ac:dyDescent="0.2">
      <c r="A70" s="25" t="s">
        <v>117</v>
      </c>
      <c r="B70" s="25"/>
      <c r="C70" s="25"/>
      <c r="D70" s="25"/>
      <c r="E70" s="25"/>
      <c r="F70" s="25"/>
      <c r="G70" s="25"/>
      <c r="H70" s="25"/>
    </row>
    <row r="71" spans="1:8" ht="12.75" x14ac:dyDescent="0.2">
      <c r="A71" s="20" t="s">
        <v>41</v>
      </c>
      <c r="B71" s="20" t="s">
        <v>66</v>
      </c>
      <c r="C71" s="20">
        <v>5</v>
      </c>
      <c r="D71" s="20" t="s">
        <v>66</v>
      </c>
      <c r="E71" s="20" t="s">
        <v>64</v>
      </c>
      <c r="F71" s="20" t="s">
        <v>94</v>
      </c>
      <c r="G71" s="20" t="s">
        <v>77</v>
      </c>
      <c r="H71" s="20" t="s">
        <v>80</v>
      </c>
    </row>
    <row r="72" spans="1:8" ht="12.75" x14ac:dyDescent="0.2">
      <c r="A72" s="20"/>
      <c r="B72" s="20"/>
      <c r="C72" s="20"/>
      <c r="D72" s="20">
        <v>5</v>
      </c>
      <c r="E72" s="20">
        <v>4</v>
      </c>
      <c r="F72" s="20">
        <v>3</v>
      </c>
      <c r="G72" s="20">
        <v>2</v>
      </c>
      <c r="H72" s="20">
        <v>1</v>
      </c>
    </row>
    <row r="73" spans="1:8" ht="12.75" x14ac:dyDescent="0.2">
      <c r="A73" s="20" t="s">
        <v>43</v>
      </c>
      <c r="B73" s="20" t="s">
        <v>66</v>
      </c>
      <c r="C73" s="20">
        <v>5</v>
      </c>
      <c r="D73" s="20" t="s">
        <v>66</v>
      </c>
      <c r="E73" s="20" t="s">
        <v>64</v>
      </c>
      <c r="F73" s="20" t="s">
        <v>94</v>
      </c>
      <c r="G73" s="20" t="s">
        <v>77</v>
      </c>
      <c r="H73" s="20" t="s">
        <v>80</v>
      </c>
    </row>
    <row r="74" spans="1:8" ht="12.75" x14ac:dyDescent="0.2">
      <c r="A74" s="20"/>
      <c r="B74" s="20"/>
      <c r="C74" s="20"/>
      <c r="D74" s="20">
        <v>5</v>
      </c>
      <c r="E74" s="20">
        <v>4</v>
      </c>
      <c r="F74" s="20">
        <v>3</v>
      </c>
      <c r="G74" s="20">
        <v>2</v>
      </c>
      <c r="H74" s="20">
        <v>1</v>
      </c>
    </row>
    <row r="75" spans="1:8" ht="12.75" x14ac:dyDescent="0.2">
      <c r="A75" s="20" t="s">
        <v>44</v>
      </c>
      <c r="B75" s="20" t="s">
        <v>66</v>
      </c>
      <c r="C75" s="20">
        <v>5</v>
      </c>
      <c r="D75" s="20" t="s">
        <v>66</v>
      </c>
      <c r="E75" s="20" t="s">
        <v>64</v>
      </c>
      <c r="F75" s="20" t="s">
        <v>94</v>
      </c>
      <c r="G75" s="20" t="s">
        <v>77</v>
      </c>
      <c r="H75" s="20" t="s">
        <v>80</v>
      </c>
    </row>
    <row r="76" spans="1:8" ht="12.75" x14ac:dyDescent="0.2">
      <c r="A76" s="20"/>
      <c r="B76" s="20"/>
      <c r="C76" s="20"/>
      <c r="D76" s="20">
        <v>5</v>
      </c>
      <c r="E76" s="20">
        <v>4</v>
      </c>
      <c r="F76" s="20">
        <v>3</v>
      </c>
      <c r="G76" s="20">
        <v>2</v>
      </c>
      <c r="H76" s="20">
        <v>1</v>
      </c>
    </row>
    <row r="77" spans="1:8" ht="12.75" x14ac:dyDescent="0.2">
      <c r="A77" s="20" t="s">
        <v>45</v>
      </c>
      <c r="B77" s="20" t="s">
        <v>66</v>
      </c>
      <c r="C77" s="20">
        <v>5</v>
      </c>
      <c r="D77" s="20" t="s">
        <v>66</v>
      </c>
      <c r="E77" s="20" t="s">
        <v>64</v>
      </c>
      <c r="F77" s="20" t="s">
        <v>94</v>
      </c>
      <c r="G77" s="20" t="s">
        <v>77</v>
      </c>
      <c r="H77" s="20" t="s">
        <v>80</v>
      </c>
    </row>
    <row r="78" spans="1:8" ht="12.75" x14ac:dyDescent="0.2">
      <c r="A78" s="20"/>
      <c r="B78" s="20"/>
      <c r="C78" s="20"/>
      <c r="D78" s="20">
        <v>5</v>
      </c>
      <c r="E78" s="20">
        <v>4</v>
      </c>
      <c r="F78" s="20">
        <v>3</v>
      </c>
      <c r="G78" s="20">
        <v>2</v>
      </c>
      <c r="H78" s="20">
        <v>1</v>
      </c>
    </row>
    <row r="79" spans="1:8" ht="12.75" x14ac:dyDescent="0.2">
      <c r="A79" s="20" t="s">
        <v>46</v>
      </c>
      <c r="B79" s="20" t="s">
        <v>109</v>
      </c>
      <c r="C79" s="20">
        <v>5</v>
      </c>
      <c r="D79" s="20" t="s">
        <v>109</v>
      </c>
      <c r="E79" s="20" t="s">
        <v>83</v>
      </c>
    </row>
    <row r="80" spans="1:8" ht="12.75" x14ac:dyDescent="0.2">
      <c r="A80" s="20"/>
      <c r="B80" s="20"/>
      <c r="C80" s="20"/>
      <c r="D80" s="20">
        <v>5</v>
      </c>
      <c r="E80" s="20">
        <v>1</v>
      </c>
    </row>
    <row r="81" spans="1:8" ht="12.75" x14ac:dyDescent="0.2">
      <c r="A81" s="20" t="s">
        <v>47</v>
      </c>
      <c r="B81" s="20" t="s">
        <v>66</v>
      </c>
      <c r="C81" s="20">
        <v>5</v>
      </c>
      <c r="D81" s="20" t="s">
        <v>66</v>
      </c>
      <c r="E81" s="20" t="s">
        <v>64</v>
      </c>
      <c r="F81" s="20" t="s">
        <v>94</v>
      </c>
      <c r="G81" s="20" t="s">
        <v>77</v>
      </c>
      <c r="H81" s="20" t="s">
        <v>80</v>
      </c>
    </row>
    <row r="82" spans="1:8" ht="12.75" x14ac:dyDescent="0.2">
      <c r="A82" s="20"/>
      <c r="B82" s="20"/>
      <c r="C82" s="20"/>
      <c r="D82" s="20">
        <v>5</v>
      </c>
      <c r="E82" s="20">
        <v>4</v>
      </c>
      <c r="F82" s="20">
        <v>3</v>
      </c>
      <c r="G82" s="20">
        <v>2</v>
      </c>
      <c r="H82" s="20">
        <v>1</v>
      </c>
    </row>
    <row r="83" spans="1:8" ht="12.75" x14ac:dyDescent="0.2">
      <c r="A83" s="20" t="s">
        <v>48</v>
      </c>
      <c r="B83" s="20" t="s">
        <v>66</v>
      </c>
      <c r="C83" s="20">
        <v>5</v>
      </c>
      <c r="D83" s="20" t="s">
        <v>66</v>
      </c>
      <c r="E83" s="20" t="s">
        <v>64</v>
      </c>
      <c r="F83" s="20" t="s">
        <v>94</v>
      </c>
      <c r="G83" s="20" t="s">
        <v>77</v>
      </c>
      <c r="H83" s="20" t="s">
        <v>80</v>
      </c>
    </row>
    <row r="84" spans="1:8" ht="12.75" x14ac:dyDescent="0.2">
      <c r="A84" s="20"/>
      <c r="B84" s="20"/>
      <c r="C84" s="20"/>
      <c r="D84" s="20">
        <v>5</v>
      </c>
      <c r="E84" s="20">
        <v>4</v>
      </c>
      <c r="F84" s="20">
        <v>3</v>
      </c>
      <c r="G84" s="20">
        <v>2</v>
      </c>
      <c r="H84" s="20">
        <v>1</v>
      </c>
    </row>
    <row r="85" spans="1:8" ht="12.75" x14ac:dyDescent="0.2">
      <c r="A85" s="20" t="s">
        <v>49</v>
      </c>
      <c r="B85" s="20" t="s">
        <v>66</v>
      </c>
      <c r="C85" s="20">
        <v>5</v>
      </c>
      <c r="D85" s="20" t="s">
        <v>66</v>
      </c>
      <c r="E85" s="20" t="s">
        <v>64</v>
      </c>
      <c r="F85" s="20" t="s">
        <v>94</v>
      </c>
      <c r="G85" s="20" t="s">
        <v>77</v>
      </c>
      <c r="H85" s="20" t="s">
        <v>80</v>
      </c>
    </row>
    <row r="86" spans="1:8" ht="12.75" x14ac:dyDescent="0.2">
      <c r="A86" s="20"/>
      <c r="B86" s="20"/>
      <c r="C86" s="20"/>
      <c r="D86" s="20">
        <v>5</v>
      </c>
      <c r="E86" s="20">
        <v>4</v>
      </c>
      <c r="F86" s="20">
        <v>3</v>
      </c>
      <c r="G86" s="20">
        <v>2</v>
      </c>
      <c r="H86" s="20">
        <v>1</v>
      </c>
    </row>
    <row r="87" spans="1:8" ht="12.75" x14ac:dyDescent="0.2">
      <c r="A87" s="20" t="s">
        <v>50</v>
      </c>
      <c r="B87" s="20" t="s">
        <v>109</v>
      </c>
      <c r="C87" s="20">
        <v>5</v>
      </c>
      <c r="D87" s="20" t="s">
        <v>109</v>
      </c>
      <c r="E87" s="20" t="s">
        <v>83</v>
      </c>
    </row>
    <row r="88" spans="1:8" ht="12.75" x14ac:dyDescent="0.2">
      <c r="A88" s="20"/>
      <c r="B88" s="20"/>
      <c r="C88" s="20"/>
      <c r="D88" s="20">
        <v>5</v>
      </c>
      <c r="E88" s="20">
        <v>1</v>
      </c>
    </row>
    <row r="89" spans="1:8" ht="12.75" x14ac:dyDescent="0.2">
      <c r="A89" s="20" t="s">
        <v>51</v>
      </c>
      <c r="B89" s="20" t="s">
        <v>66</v>
      </c>
      <c r="C89" s="20">
        <v>5</v>
      </c>
      <c r="D89" s="20" t="s">
        <v>66</v>
      </c>
      <c r="E89" s="20" t="s">
        <v>64</v>
      </c>
      <c r="F89" s="20" t="s">
        <v>94</v>
      </c>
      <c r="G89" s="20" t="s">
        <v>77</v>
      </c>
      <c r="H89" s="20" t="s">
        <v>80</v>
      </c>
    </row>
    <row r="90" spans="1:8" ht="12.75" x14ac:dyDescent="0.2">
      <c r="B90" s="22" t="s">
        <v>113</v>
      </c>
      <c r="C90" s="22">
        <f>C71+C73+C75+C77+C79+C81+C83+C85+C87+C89</f>
        <v>50</v>
      </c>
      <c r="D90" s="20">
        <v>5</v>
      </c>
      <c r="E90" s="20">
        <v>4</v>
      </c>
      <c r="F90" s="20">
        <v>3</v>
      </c>
      <c r="G90" s="20">
        <v>2</v>
      </c>
      <c r="H90" s="20">
        <v>1</v>
      </c>
    </row>
    <row r="93" spans="1:8" ht="15.75" customHeight="1" x14ac:dyDescent="0.25">
      <c r="A93" s="26" t="s">
        <v>118</v>
      </c>
    </row>
    <row r="94" spans="1:8" ht="12.75" x14ac:dyDescent="0.2">
      <c r="A94" s="20" t="s">
        <v>119</v>
      </c>
    </row>
    <row r="95" spans="1:8" ht="12.75" x14ac:dyDescent="0.2">
      <c r="A95" s="20" t="s">
        <v>120</v>
      </c>
    </row>
    <row r="96" spans="1:8" ht="12.75" x14ac:dyDescent="0.2">
      <c r="A96" s="20" t="s">
        <v>121</v>
      </c>
    </row>
    <row r="97" spans="1:4" ht="12.75" x14ac:dyDescent="0.2">
      <c r="A97" s="20" t="s">
        <v>122</v>
      </c>
    </row>
    <row r="100" spans="1:4" ht="12.75" x14ac:dyDescent="0.2">
      <c r="A100" s="20" t="s">
        <v>123</v>
      </c>
    </row>
    <row r="101" spans="1:4" ht="12.75" x14ac:dyDescent="0.2">
      <c r="A101" s="20" t="s">
        <v>124</v>
      </c>
    </row>
    <row r="102" spans="1:4" ht="12.75" x14ac:dyDescent="0.2">
      <c r="A102" s="20" t="s">
        <v>125</v>
      </c>
    </row>
    <row r="103" spans="1:4" ht="12.75" x14ac:dyDescent="0.2">
      <c r="A103" s="20" t="s">
        <v>126</v>
      </c>
    </row>
    <row r="109" spans="1:4" ht="12.75" x14ac:dyDescent="0.2">
      <c r="A109" s="27" t="s">
        <v>127</v>
      </c>
      <c r="B109" s="27" t="s">
        <v>128</v>
      </c>
      <c r="C109" s="27"/>
      <c r="D109" s="27" t="s">
        <v>129</v>
      </c>
    </row>
    <row r="110" spans="1:4" ht="12.75" x14ac:dyDescent="0.2">
      <c r="A110" s="20" t="s">
        <v>130</v>
      </c>
      <c r="B110" s="20" t="s">
        <v>131</v>
      </c>
      <c r="C110" s="20"/>
      <c r="D110" s="20">
        <v>1</v>
      </c>
    </row>
    <row r="111" spans="1:4" ht="12.75" x14ac:dyDescent="0.2">
      <c r="A111" s="20" t="s">
        <v>132</v>
      </c>
      <c r="B111" s="20" t="s">
        <v>133</v>
      </c>
      <c r="C111" s="20"/>
      <c r="D111" s="20">
        <v>2</v>
      </c>
    </row>
    <row r="112" spans="1:4" ht="12.75" x14ac:dyDescent="0.2">
      <c r="A112" s="20" t="s">
        <v>134</v>
      </c>
      <c r="B112" s="20" t="s">
        <v>135</v>
      </c>
      <c r="C112" s="20"/>
      <c r="D112" s="20">
        <v>3</v>
      </c>
    </row>
    <row r="113" spans="1:4" ht="12.75" x14ac:dyDescent="0.2">
      <c r="A113" s="27" t="s">
        <v>136</v>
      </c>
      <c r="B113" s="27" t="s">
        <v>128</v>
      </c>
      <c r="C113" s="27"/>
      <c r="D113" s="27" t="s">
        <v>129</v>
      </c>
    </row>
    <row r="114" spans="1:4" ht="12.75" x14ac:dyDescent="0.2">
      <c r="A114" s="20" t="s">
        <v>137</v>
      </c>
      <c r="B114" s="20" t="s">
        <v>138</v>
      </c>
      <c r="C114" s="20"/>
      <c r="D114" s="20">
        <v>1</v>
      </c>
    </row>
    <row r="115" spans="1:4" ht="12.75" x14ac:dyDescent="0.2">
      <c r="A115" s="20" t="s">
        <v>139</v>
      </c>
      <c r="B115" s="20" t="s">
        <v>140</v>
      </c>
      <c r="C115" s="20"/>
      <c r="D115" s="20">
        <v>2</v>
      </c>
    </row>
    <row r="116" spans="1:4" ht="12.75" x14ac:dyDescent="0.2">
      <c r="A116" s="20" t="s">
        <v>141</v>
      </c>
      <c r="B116" s="20" t="s">
        <v>142</v>
      </c>
      <c r="C116" s="20"/>
      <c r="D116" s="20">
        <v>3</v>
      </c>
    </row>
    <row r="117" spans="1:4" ht="12.75" x14ac:dyDescent="0.2">
      <c r="A117" s="20" t="s">
        <v>143</v>
      </c>
      <c r="B117" s="20" t="s">
        <v>144</v>
      </c>
      <c r="C117" s="20"/>
      <c r="D117" s="20">
        <v>4</v>
      </c>
    </row>
    <row r="118" spans="1:4" ht="12.75" x14ac:dyDescent="0.2">
      <c r="A118" s="28" t="s">
        <v>145</v>
      </c>
      <c r="B118" s="28" t="s">
        <v>128</v>
      </c>
      <c r="C118" s="28"/>
      <c r="D118" s="28" t="s">
        <v>129</v>
      </c>
    </row>
    <row r="119" spans="1:4" ht="12.75" x14ac:dyDescent="0.2">
      <c r="A119" s="20" t="s">
        <v>146</v>
      </c>
      <c r="B119" s="20" t="s">
        <v>138</v>
      </c>
      <c r="C119" s="20"/>
      <c r="D119" s="20">
        <v>1</v>
      </c>
    </row>
    <row r="120" spans="1:4" ht="12.75" x14ac:dyDescent="0.2">
      <c r="A120" s="20" t="s">
        <v>147</v>
      </c>
      <c r="B120" s="20" t="s">
        <v>142</v>
      </c>
      <c r="C120" s="20"/>
      <c r="D120" s="20">
        <v>2</v>
      </c>
    </row>
    <row r="121" spans="1:4" ht="12.75" x14ac:dyDescent="0.2">
      <c r="A121" s="27" t="s">
        <v>148</v>
      </c>
      <c r="B121" s="27" t="s">
        <v>128</v>
      </c>
      <c r="C121" s="27"/>
      <c r="D121" s="27" t="s">
        <v>129</v>
      </c>
    </row>
    <row r="122" spans="1:4" ht="12.75" x14ac:dyDescent="0.2">
      <c r="A122" s="20" t="s">
        <v>149</v>
      </c>
      <c r="B122" s="20" t="s">
        <v>150</v>
      </c>
      <c r="C122" s="20"/>
      <c r="D122" s="20">
        <v>1</v>
      </c>
    </row>
    <row r="123" spans="1:4" ht="12.75" x14ac:dyDescent="0.2">
      <c r="A123" s="20" t="s">
        <v>151</v>
      </c>
      <c r="B123" s="20" t="s">
        <v>90</v>
      </c>
      <c r="C123" s="20"/>
      <c r="D123" s="20">
        <v>2</v>
      </c>
    </row>
    <row r="124" spans="1:4" ht="12.75" x14ac:dyDescent="0.2">
      <c r="A124" s="20" t="s">
        <v>152</v>
      </c>
      <c r="B124" s="20" t="s">
        <v>153</v>
      </c>
      <c r="C124" s="20"/>
      <c r="D124" s="20">
        <v>3</v>
      </c>
    </row>
    <row r="125" spans="1:4" ht="12.75" x14ac:dyDescent="0.2">
      <c r="A125" s="20" t="s">
        <v>154</v>
      </c>
      <c r="B125" s="20" t="s">
        <v>155</v>
      </c>
      <c r="C125" s="20"/>
      <c r="D125" s="20">
        <v>4</v>
      </c>
    </row>
    <row r="126" spans="1:4" ht="12.75" x14ac:dyDescent="0.2">
      <c r="A126" s="27" t="s">
        <v>156</v>
      </c>
      <c r="B126" s="27" t="s">
        <v>128</v>
      </c>
      <c r="C126" s="27"/>
      <c r="D126" s="27" t="s">
        <v>129</v>
      </c>
    </row>
    <row r="127" spans="1:4" ht="12.75" x14ac:dyDescent="0.2">
      <c r="A127" s="20" t="s">
        <v>149</v>
      </c>
      <c r="B127" s="20" t="s">
        <v>138</v>
      </c>
      <c r="C127" s="20"/>
      <c r="D127" s="20">
        <v>1</v>
      </c>
    </row>
    <row r="128" spans="1:4" ht="12.75" x14ac:dyDescent="0.2">
      <c r="A128" s="20" t="s">
        <v>151</v>
      </c>
      <c r="B128" s="20" t="s">
        <v>140</v>
      </c>
      <c r="C128" s="20"/>
      <c r="D128" s="20">
        <v>2</v>
      </c>
    </row>
    <row r="129" spans="1:4" ht="12.75" x14ac:dyDescent="0.2">
      <c r="A129" s="20" t="s">
        <v>152</v>
      </c>
      <c r="B129" s="20" t="s">
        <v>142</v>
      </c>
      <c r="C129" s="20"/>
      <c r="D129" s="20">
        <v>3</v>
      </c>
    </row>
    <row r="130" spans="1:4" ht="12.75" x14ac:dyDescent="0.2">
      <c r="A130" s="20" t="s">
        <v>154</v>
      </c>
      <c r="B130" s="20" t="s">
        <v>144</v>
      </c>
      <c r="C130" s="20"/>
      <c r="D130" s="2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Coded</vt:lpstr>
      <vt:lpstr>Code-book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Nishat Mim</cp:lastModifiedBy>
  <dcterms:created xsi:type="dcterms:W3CDTF">2026-09-23T06:05:07Z</dcterms:created>
  <dcterms:modified xsi:type="dcterms:W3CDTF">2026-09-23T06:48:19Z</dcterms:modified>
</cp:coreProperties>
</file>